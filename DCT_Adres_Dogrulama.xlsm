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rhan Kılıçcıoğlu\Downloads\"/>
    </mc:Choice>
  </mc:AlternateContent>
  <xr:revisionPtr revIDLastSave="0" documentId="13_ncr:1_{90016AD9-9216-46A1-840A-06A1C1D11376}" xr6:coauthVersionLast="46" xr6:coauthVersionMax="47" xr10:uidLastSave="{00000000-0000-0000-0000-000000000000}"/>
  <bookViews>
    <workbookView xWindow="-120" yWindow="-120" windowWidth="51840" windowHeight="21240" tabRatio="345" xr2:uid="{003E7E35-1C9A-4847-977F-1B377BC73385}"/>
  </bookViews>
  <sheets>
    <sheet name="Data Giris" sheetId="1" r:id="rId1"/>
    <sheet name="DataZipCode" sheetId="4" r:id="rId2"/>
    <sheet name="Ulkel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4" l="1" a="1"/>
  <c r="K3" i="4" s="1"/>
  <c r="D238" i="3"/>
  <c r="C238" i="3"/>
  <c r="D237" i="3"/>
  <c r="C237" i="3"/>
  <c r="D236" i="3"/>
  <c r="C236" i="3"/>
  <c r="D235" i="3"/>
  <c r="C235" i="3"/>
  <c r="D234" i="3"/>
  <c r="C234" i="3"/>
  <c r="D233" i="3"/>
  <c r="C233" i="3"/>
  <c r="D232" i="3"/>
  <c r="C232" i="3"/>
  <c r="D231" i="3"/>
  <c r="C231" i="3"/>
  <c r="D230" i="3"/>
  <c r="C230" i="3"/>
  <c r="D229" i="3"/>
  <c r="C229" i="3"/>
  <c r="D228" i="3"/>
  <c r="C228" i="3"/>
  <c r="D227" i="3"/>
  <c r="C227" i="3"/>
  <c r="D226" i="3"/>
  <c r="C226" i="3"/>
  <c r="D225" i="3"/>
  <c r="C225" i="3"/>
  <c r="D224" i="3"/>
  <c r="C224" i="3"/>
  <c r="D223" i="3"/>
  <c r="C223" i="3"/>
  <c r="D222" i="3"/>
  <c r="C222" i="3"/>
  <c r="D221" i="3"/>
  <c r="C221" i="3"/>
  <c r="D220" i="3"/>
  <c r="C220" i="3"/>
  <c r="D219" i="3"/>
  <c r="C219" i="3"/>
  <c r="D218" i="3"/>
  <c r="C218" i="3"/>
  <c r="D217" i="3"/>
  <c r="C217" i="3"/>
  <c r="D216" i="3"/>
  <c r="C216" i="3"/>
  <c r="D215" i="3"/>
  <c r="C215" i="3"/>
  <c r="D214" i="3"/>
  <c r="C214" i="3"/>
  <c r="D213" i="3"/>
  <c r="C213" i="3"/>
  <c r="D212" i="3"/>
  <c r="C212" i="3"/>
  <c r="D211" i="3"/>
  <c r="C211" i="3"/>
  <c r="D210" i="3"/>
  <c r="C210" i="3"/>
  <c r="D209" i="3"/>
  <c r="C209" i="3"/>
  <c r="D208" i="3"/>
  <c r="C208" i="3"/>
  <c r="D207" i="3"/>
  <c r="C207" i="3"/>
  <c r="D206" i="3"/>
  <c r="C206" i="3"/>
  <c r="D205" i="3"/>
  <c r="C205" i="3"/>
  <c r="D204" i="3"/>
  <c r="C204" i="3"/>
  <c r="D203" i="3"/>
  <c r="C203" i="3"/>
  <c r="D202" i="3"/>
  <c r="C202" i="3"/>
  <c r="D201" i="3"/>
  <c r="C201" i="3"/>
  <c r="D200" i="3"/>
  <c r="C200" i="3"/>
  <c r="D199" i="3"/>
  <c r="C199" i="3"/>
  <c r="D198" i="3"/>
  <c r="C198" i="3"/>
  <c r="D197" i="3"/>
  <c r="C197" i="3"/>
  <c r="D196" i="3"/>
  <c r="C196" i="3"/>
  <c r="D195" i="3"/>
  <c r="C195" i="3"/>
  <c r="D194" i="3"/>
  <c r="C194" i="3"/>
  <c r="D193" i="3"/>
  <c r="C193" i="3"/>
  <c r="D192" i="3"/>
  <c r="C192" i="3"/>
  <c r="D191" i="3"/>
  <c r="C191" i="3"/>
  <c r="D190" i="3"/>
  <c r="C190" i="3"/>
  <c r="D189" i="3"/>
  <c r="C189" i="3"/>
  <c r="D188" i="3"/>
  <c r="C188" i="3"/>
  <c r="D187" i="3"/>
  <c r="C187" i="3"/>
  <c r="D186" i="3"/>
  <c r="C186" i="3"/>
  <c r="D185" i="3"/>
  <c r="C185" i="3"/>
  <c r="D184" i="3"/>
  <c r="C184" i="3"/>
  <c r="D183" i="3"/>
  <c r="C183" i="3"/>
  <c r="D182" i="3"/>
  <c r="C182" i="3"/>
  <c r="D181" i="3"/>
  <c r="C181" i="3"/>
  <c r="D180" i="3"/>
  <c r="C180" i="3"/>
  <c r="D179" i="3"/>
  <c r="C179" i="3"/>
  <c r="D178" i="3"/>
  <c r="C178" i="3"/>
  <c r="D177" i="3"/>
  <c r="C177" i="3"/>
  <c r="D176" i="3"/>
  <c r="C176" i="3"/>
  <c r="D175" i="3"/>
  <c r="C175" i="3"/>
  <c r="D174" i="3"/>
  <c r="C174" i="3"/>
  <c r="D173" i="3"/>
  <c r="C173" i="3"/>
  <c r="D172" i="3"/>
  <c r="C172" i="3"/>
  <c r="D171" i="3"/>
  <c r="C171" i="3"/>
  <c r="D170" i="3"/>
  <c r="C170" i="3"/>
  <c r="D169" i="3"/>
  <c r="C169" i="3"/>
  <c r="D168" i="3"/>
  <c r="C168" i="3"/>
  <c r="D167" i="3"/>
  <c r="C167" i="3"/>
  <c r="D166" i="3"/>
  <c r="C166" i="3"/>
  <c r="D165" i="3"/>
  <c r="C165" i="3"/>
  <c r="D164" i="3"/>
  <c r="C164" i="3"/>
  <c r="D163" i="3"/>
  <c r="C163" i="3"/>
  <c r="D162" i="3"/>
  <c r="C162" i="3"/>
  <c r="D161" i="3"/>
  <c r="C161" i="3"/>
  <c r="D160" i="3"/>
  <c r="C160" i="3"/>
  <c r="D159" i="3"/>
  <c r="C159" i="3"/>
  <c r="D158" i="3"/>
  <c r="C158" i="3"/>
  <c r="D157" i="3"/>
  <c r="C157" i="3"/>
  <c r="D156" i="3"/>
  <c r="C156" i="3"/>
  <c r="D155" i="3"/>
  <c r="C155" i="3"/>
  <c r="D154" i="3"/>
  <c r="C154" i="3"/>
  <c r="D153" i="3"/>
  <c r="C153" i="3"/>
  <c r="D152" i="3"/>
  <c r="C152" i="3"/>
  <c r="D151" i="3"/>
  <c r="C151" i="3"/>
  <c r="D150" i="3"/>
  <c r="C150" i="3"/>
  <c r="D149" i="3"/>
  <c r="C149" i="3"/>
  <c r="D148" i="3"/>
  <c r="C148" i="3"/>
  <c r="D147" i="3"/>
  <c r="C147" i="3"/>
  <c r="D146" i="3"/>
  <c r="C146" i="3"/>
  <c r="D145" i="3"/>
  <c r="C145" i="3"/>
  <c r="D144" i="3"/>
  <c r="C144" i="3"/>
  <c r="D143" i="3"/>
  <c r="C143" i="3"/>
  <c r="D142" i="3"/>
  <c r="C142" i="3"/>
  <c r="D141" i="3"/>
  <c r="C141" i="3"/>
  <c r="D140" i="3"/>
  <c r="C140" i="3"/>
  <c r="D139" i="3"/>
  <c r="C139" i="3"/>
  <c r="D138" i="3"/>
  <c r="C138" i="3"/>
  <c r="D137" i="3"/>
  <c r="C137" i="3"/>
  <c r="D136" i="3"/>
  <c r="C136" i="3"/>
  <c r="D135" i="3"/>
  <c r="C135" i="3"/>
  <c r="D134" i="3"/>
  <c r="C134" i="3"/>
  <c r="D133" i="3"/>
  <c r="C133" i="3"/>
  <c r="D132" i="3"/>
  <c r="C132" i="3"/>
  <c r="D131" i="3"/>
  <c r="C131" i="3"/>
  <c r="D130" i="3"/>
  <c r="C130" i="3"/>
  <c r="D129" i="3"/>
  <c r="C129" i="3"/>
  <c r="D128" i="3"/>
  <c r="C128" i="3"/>
  <c r="D127" i="3"/>
  <c r="C127" i="3"/>
  <c r="D126" i="3"/>
  <c r="C126" i="3"/>
  <c r="D125" i="3"/>
  <c r="C125" i="3"/>
  <c r="D124" i="3"/>
  <c r="C124" i="3"/>
  <c r="D123" i="3"/>
  <c r="C123" i="3"/>
  <c r="D122" i="3"/>
  <c r="C122" i="3"/>
  <c r="D121" i="3"/>
  <c r="C121" i="3"/>
  <c r="D120" i="3"/>
  <c r="C120" i="3"/>
  <c r="D119" i="3"/>
  <c r="C119" i="3"/>
  <c r="D118" i="3"/>
  <c r="C118" i="3"/>
  <c r="D117" i="3"/>
  <c r="C117" i="3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D92" i="3"/>
  <c r="C92" i="3"/>
  <c r="D91" i="3"/>
  <c r="C91" i="3"/>
  <c r="D90" i="3"/>
  <c r="C90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65" i="3"/>
  <c r="C65" i="3"/>
  <c r="D64" i="3"/>
  <c r="C64" i="3"/>
  <c r="D63" i="3"/>
  <c r="C63" i="3"/>
  <c r="D62" i="3"/>
  <c r="C62" i="3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D37" i="3"/>
  <c r="C37" i="3"/>
  <c r="D36" i="3"/>
  <c r="C36" i="3"/>
  <c r="D35" i="3"/>
  <c r="C35" i="3"/>
  <c r="D34" i="3"/>
  <c r="C34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D2" i="3"/>
  <c r="C2" i="3"/>
  <c r="D1" i="3"/>
  <c r="C1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<sst xmlns="http://schemas.openxmlformats.org/spreadsheetml/2006/main" count="558" uniqueCount="496">
  <si>
    <t>C/CP</t>
  </si>
  <si>
    <t>AE</t>
  </si>
  <si>
    <t>AL</t>
  </si>
  <si>
    <t>AZ</t>
  </si>
  <si>
    <t>BA</t>
  </si>
  <si>
    <t>BE</t>
  </si>
  <si>
    <t>BG</t>
  </si>
  <si>
    <t>BH</t>
  </si>
  <si>
    <t>CA</t>
  </si>
  <si>
    <t>CH</t>
  </si>
  <si>
    <t>CI</t>
  </si>
  <si>
    <t>CN</t>
  </si>
  <si>
    <t>CO</t>
  </si>
  <si>
    <t>DE</t>
  </si>
  <si>
    <t>DZ</t>
  </si>
  <si>
    <t>EG</t>
  </si>
  <si>
    <t>ES</t>
  </si>
  <si>
    <t>FR</t>
  </si>
  <si>
    <t>GB</t>
  </si>
  <si>
    <t>GE</t>
  </si>
  <si>
    <t>GN</t>
  </si>
  <si>
    <t>GR</t>
  </si>
  <si>
    <t>HR</t>
  </si>
  <si>
    <t>HU</t>
  </si>
  <si>
    <t>ID</t>
  </si>
  <si>
    <t>IE</t>
  </si>
  <si>
    <t>IL</t>
  </si>
  <si>
    <t>IN</t>
  </si>
  <si>
    <t>IT</t>
  </si>
  <si>
    <t>JO</t>
  </si>
  <si>
    <t>KE</t>
  </si>
  <si>
    <t>KW</t>
  </si>
  <si>
    <t>LV</t>
  </si>
  <si>
    <t>LY</t>
  </si>
  <si>
    <t>MA</t>
  </si>
  <si>
    <t>MY</t>
  </si>
  <si>
    <t>OM</t>
  </si>
  <si>
    <t>PK</t>
  </si>
  <si>
    <t>PL</t>
  </si>
  <si>
    <t>PT</t>
  </si>
  <si>
    <t>QA</t>
  </si>
  <si>
    <t>RS</t>
  </si>
  <si>
    <t>RU</t>
  </si>
  <si>
    <t>SE</t>
  </si>
  <si>
    <t>SK</t>
  </si>
  <si>
    <t>TN</t>
  </si>
  <si>
    <t>UA</t>
  </si>
  <si>
    <t>US</t>
  </si>
  <si>
    <t>ZA</t>
  </si>
  <si>
    <t>countryCode</t>
  </si>
  <si>
    <t>countryName</t>
  </si>
  <si>
    <t>AD</t>
  </si>
  <si>
    <t>Andorra</t>
  </si>
  <si>
    <t>United Arab Emirates</t>
  </si>
  <si>
    <t>AF</t>
  </si>
  <si>
    <t>Afghanistan</t>
  </si>
  <si>
    <t>AG</t>
  </si>
  <si>
    <t>Antigua</t>
  </si>
  <si>
    <t>AI</t>
  </si>
  <si>
    <t>Anguilla</t>
  </si>
  <si>
    <t>Albania</t>
  </si>
  <si>
    <t>AM</t>
  </si>
  <si>
    <t>Armenia</t>
  </si>
  <si>
    <t>AO</t>
  </si>
  <si>
    <t>Angola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</si>
  <si>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</si>
  <si>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</si>
  <si>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</si>
  <si>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</si>
  <si>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</si>
  <si>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</si>
  <si>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</si>
  <si>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</si>
  <si>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</si>
  <si>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</si>
  <si>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Azerbaijan</t>
  </si>
  <si>
    <t>Bosnia and Herzegovina</t>
  </si>
  <si>
    <t>BB</t>
  </si>
  <si>
    <t>Barbados</t>
  </si>
  <si>
    <t>BD</t>
  </si>
  <si>
    <t>Bangladesh</t>
  </si>
  <si>
    <t>Belgium</t>
  </si>
  <si>
    <t>BF</t>
  </si>
  <si>
    <t>Burkina Faso</t>
  </si>
  <si>
    <t>Bulgaria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</si>
  <si>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</si>
  <si>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</si>
  <si>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</si>
  <si>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</si>
  <si>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</si>
  <si>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</si>
  <si>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</si>
  <si>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</si>
  <si>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</t>
  </si>
  <si>
    <t>BO</t>
  </si>
  <si>
    <t>Bolivia</t>
  </si>
  <si>
    <t>BR</t>
  </si>
  <si>
    <t>Brazil</t>
  </si>
  <si>
    <t>BS</t>
  </si>
  <si>
    <t>Bahamas</t>
  </si>
  <si>
    <t>BT</t>
  </si>
  <si>
    <t>Bhutan</t>
  </si>
  <si>
    <t>BW</t>
  </si>
  <si>
    <t>Botswana</t>
  </si>
  <si>
    <t>BY</t>
  </si>
  <si>
    <t>Belarus</t>
  </si>
  <si>
    <t>BZ</t>
  </si>
  <si>
    <t>Belize</t>
  </si>
  <si>
    <t>Canada</t>
  </si>
  <si>
    <t>CD</t>
  </si>
  <si>
    <t>DR Congo</t>
  </si>
  <si>
    <t>CF</t>
  </si>
  <si>
    <t>Central African Republic</t>
  </si>
  <si>
    <t>CG</t>
  </si>
  <si>
    <t>Congo</t>
  </si>
  <si>
    <t>Switzerland</t>
  </si>
  <si>
    <t>Cote D'Ivoire</t>
  </si>
  <si>
    <t>CK</t>
  </si>
  <si>
    <t>Cook Islands</t>
  </si>
  <si>
    <t>CL</t>
  </si>
  <si>
    <t>Chile</t>
  </si>
  <si>
    <t>CM</t>
  </si>
  <si>
    <t>Cameroon</t>
  </si>
  <si>
    <t>China</t>
  </si>
  <si>
    <t>Colombia</t>
  </si>
  <si>
    <t>CR</t>
  </si>
  <si>
    <t>Costa Rica</t>
  </si>
  <si>
    <t>CU</t>
  </si>
  <si>
    <t>Cuba</t>
  </si>
  <si>
    <t>CV</t>
  </si>
  <si>
    <t>Cape Verde</t>
  </si>
  <si>
    <t>CY</t>
  </si>
  <si>
    <t>Cyprus</t>
  </si>
  <si>
    <t>CZ</t>
  </si>
  <si>
    <t>Czech Republic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</si>
  <si>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</si>
  <si>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</si>
  <si>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</si>
  <si>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</si>
  <si>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</si>
  <si>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</si>
  <si>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</si>
  <si>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</si>
  <si>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</si>
  <si>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Algeria</t>
  </si>
  <si>
    <t>EC</t>
  </si>
  <si>
    <t>Ecuador</t>
  </si>
  <si>
    <t>EE</t>
  </si>
  <si>
    <t>Estonia</t>
  </si>
  <si>
    <t>Egypt</t>
  </si>
  <si>
    <t>ER</t>
  </si>
  <si>
    <t>Eritrea</t>
  </si>
  <si>
    <t>Spain</t>
  </si>
  <si>
    <t>ET</t>
  </si>
  <si>
    <t>Ethiopia</t>
  </si>
  <si>
    <t>FI</t>
  </si>
  <si>
    <t>Finland</t>
  </si>
  <si>
    <t>FJ</t>
  </si>
  <si>
    <t>Fiji</t>
  </si>
  <si>
    <t>FK</t>
  </si>
  <si>
    <t>Falkland Islands</t>
  </si>
  <si>
    <t>FM</t>
  </si>
  <si>
    <t>Micronesia</t>
  </si>
  <si>
    <t>FO</t>
  </si>
  <si>
    <t>Faroe Islands</t>
  </si>
  <si>
    <t>France</t>
  </si>
  <si>
    <t>GA</t>
  </si>
  <si>
    <t>Gabon</t>
  </si>
  <si>
    <t>United Kingdom</t>
  </si>
  <si>
    <t>GD</t>
  </si>
  <si>
    <t>Grenada</t>
  </si>
  <si>
    <t>Georgia</t>
  </si>
  <si>
    <t>GF</t>
  </si>
  <si>
    <t>French Guiana</t>
  </si>
  <si>
    <t>GG</t>
  </si>
  <si>
    <t>Guernsey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</si>
  <si>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</si>
  <si>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</si>
  <si>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</si>
  <si>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</si>
  <si>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</si>
  <si>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</si>
  <si>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</si>
  <si>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</si>
  <si>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Guinea</t>
  </si>
  <si>
    <t>GP</t>
  </si>
  <si>
    <t>Guadeloupe</t>
  </si>
  <si>
    <t>GQ</t>
  </si>
  <si>
    <t>Equatorial Guinea</t>
  </si>
  <si>
    <t>Greece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</si>
  <si>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</si>
  <si>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</si>
  <si>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</si>
  <si>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</si>
  <si>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</si>
  <si>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</si>
  <si>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</si>
  <si>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</si>
  <si>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</si>
  <si>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</si>
  <si>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HN</t>
  </si>
  <si>
    <t>Honduras</t>
  </si>
  <si>
    <t>Croatia</t>
  </si>
  <si>
    <t>HT</t>
  </si>
  <si>
    <t>Haiti</t>
  </si>
  <si>
    <t>Hungary</t>
  </si>
  <si>
    <t>IC</t>
  </si>
  <si>
    <t>Canary Islands</t>
  </si>
  <si>
    <t>Indonesia</t>
  </si>
  <si>
    <t>Ireland</t>
  </si>
  <si>
    <t>Israel</t>
  </si>
  <si>
    <t>India</t>
  </si>
  <si>
    <t>IQ</t>
  </si>
  <si>
    <t>Iraq</t>
  </si>
  <si>
    <t>IR</t>
  </si>
  <si>
    <t>Iran</t>
  </si>
  <si>
    <t>IS</t>
  </si>
  <si>
    <t>Iceland</t>
  </si>
  <si>
    <t>Italy</t>
  </si>
  <si>
    <t>JE</t>
  </si>
  <si>
    <t>Jersey</t>
  </si>
  <si>
    <t>JM</t>
  </si>
  <si>
    <t>Jamaica</t>
  </si>
  <si>
    <t>Jordan</t>
  </si>
  <si>
    <t>JP</t>
  </si>
  <si>
    <t>Japan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</si>
  <si>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</si>
  <si>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</si>
  <si>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</si>
  <si>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</si>
  <si>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</si>
  <si>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</si>
  <si>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</si>
  <si>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</si>
  <si>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</si>
  <si>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</si>
  <si>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St. Kitts</t>
  </si>
  <si>
    <t>KP</t>
  </si>
  <si>
    <t>North Korea</t>
  </si>
  <si>
    <t>KR</t>
  </si>
  <si>
    <t>South Korea</t>
  </si>
  <si>
    <t>KV</t>
  </si>
  <si>
    <t>Kosovo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</si>
  <si>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</si>
  <si>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</si>
  <si>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</si>
  <si>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</si>
  <si>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</si>
  <si>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</si>
  <si>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</si>
  <si>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</si>
  <si>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</si>
  <si>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</si>
  <si>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St. Lucia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</si>
  <si>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</si>
  <si>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</si>
  <si>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</si>
  <si>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</si>
  <si>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</si>
  <si>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</si>
  <si>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</si>
  <si>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</si>
  <si>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</si>
  <si>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</si>
  <si>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Latvia</t>
  </si>
  <si>
    <t>Libya</t>
  </si>
  <si>
    <t>Morocco</t>
  </si>
  <si>
    <t>MD</t>
  </si>
  <si>
    <t>Moldova</t>
  </si>
  <si>
    <t>ME</t>
  </si>
  <si>
    <t>Montenegro</t>
  </si>
  <si>
    <t>MG</t>
  </si>
  <si>
    <t>Madagascar</t>
  </si>
  <si>
    <t>MH</t>
  </si>
  <si>
    <t>Marshall Islands</t>
  </si>
  <si>
    <t>MK</t>
  </si>
  <si>
    <t>NORTH MACEDONIA</t>
  </si>
  <si>
    <t>ML</t>
  </si>
  <si>
    <t>Mali</t>
  </si>
  <si>
    <t>MM</t>
  </si>
  <si>
    <t>Myanmar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</si>
  <si>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</si>
  <si>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</si>
  <si>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</si>
  <si>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</si>
  <si>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</si>
  <si>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</si>
  <si>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</si>
  <si>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</si>
  <si>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</si>
  <si>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</si>
  <si>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</si>
  <si>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</si>
  <si>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</si>
  <si>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</si>
  <si>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</si>
  <si>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</si>
  <si>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</si>
  <si>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</si>
  <si>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</si>
  <si>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</si>
  <si>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</si>
  <si>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</si>
  <si>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</si>
  <si>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</si>
  <si>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</si>
  <si>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</si>
  <si>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</si>
  <si>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</si>
  <si>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</si>
  <si>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</si>
  <si>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</si>
  <si>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NG</t>
  </si>
  <si>
    <t>Nigeria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</si>
  <si>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</si>
  <si>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</si>
  <si>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</si>
  <si>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</si>
  <si>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</si>
  <si>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</si>
  <si>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</si>
  <si>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</si>
  <si>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</si>
  <si>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</si>
  <si>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</si>
  <si>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</si>
  <si>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</si>
  <si>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</si>
  <si>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Oman</t>
  </si>
  <si>
    <t>Origin Country Code</t>
  </si>
  <si>
    <t>Origin Country Name</t>
  </si>
  <si>
    <t>PA</t>
  </si>
  <si>
    <t>Panama</t>
  </si>
  <si>
    <t>PE</t>
  </si>
  <si>
    <t>Peru</t>
  </si>
  <si>
    <t>PF</t>
  </si>
  <si>
    <t>Tahiti</t>
  </si>
  <si>
    <t>PG</t>
  </si>
  <si>
    <t>Papua New Guinea</t>
  </si>
  <si>
    <t>PH</t>
  </si>
  <si>
    <t>Philippines</t>
  </si>
  <si>
    <t>Pakistan</t>
  </si>
  <si>
    <t>Poland</t>
  </si>
  <si>
    <t>PN</t>
  </si>
  <si>
    <t>Pitcairn Islands</t>
  </si>
  <si>
    <t>PR</t>
  </si>
  <si>
    <t>Puerto Rico</t>
  </si>
  <si>
    <t>Portugal</t>
  </si>
  <si>
    <t>PW</t>
  </si>
  <si>
    <t>Palau</t>
  </si>
  <si>
    <t>PY</t>
  </si>
  <si>
    <t>Paraguay</t>
  </si>
  <si>
    <t>Qatar</t>
  </si>
  <si>
    <t>RE</t>
  </si>
  <si>
    <t>Reunion</t>
  </si>
  <si>
    <t>RO</t>
  </si>
  <si>
    <t>Romania</t>
  </si>
  <si>
    <t>Serbia</t>
  </si>
  <si>
    <t>Russia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</si>
  <si>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</si>
  <si>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</si>
  <si>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</si>
  <si>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</si>
  <si>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</si>
  <si>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</si>
  <si>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</si>
  <si>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</si>
  <si>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</si>
  <si>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</si>
  <si>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Sweden</t>
  </si>
  <si>
    <t>SG</t>
  </si>
  <si>
    <t>Singapore</t>
  </si>
  <si>
    <t>SH</t>
  </si>
  <si>
    <t>St Helena</t>
  </si>
  <si>
    <t>SI</t>
  </si>
  <si>
    <t>Slovenia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</si>
  <si>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</si>
  <si>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</si>
  <si>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</si>
  <si>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</si>
  <si>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</si>
  <si>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</si>
  <si>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</si>
  <si>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</si>
  <si>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</si>
  <si>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</si>
  <si>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</si>
  <si>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</si>
  <si>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South Sudan</t>
  </si>
  <si>
    <t>ST</t>
  </si>
  <si>
    <t>Sao Tome and Principe</t>
  </si>
  <si>
    <t>SV</t>
  </si>
  <si>
    <t>El Salvador</t>
  </si>
  <si>
    <t>SY</t>
  </si>
  <si>
    <t>Syria</t>
  </si>
  <si>
    <t>SZ</t>
  </si>
  <si>
    <t>Swaziland</t>
  </si>
  <si>
    <t>TC</t>
  </si>
  <si>
    <t>Turks and Caicos Islands</t>
  </si>
  <si>
    <t>TD</t>
  </si>
  <si>
    <t>Chad</t>
  </si>
  <si>
    <t>TG</t>
  </si>
  <si>
    <t>Togo</t>
  </si>
  <si>
    <t>TH</t>
  </si>
  <si>
    <t>Thailand</t>
  </si>
  <si>
    <t>TJ</t>
  </si>
  <si>
    <t>Tajikistan</t>
  </si>
  <si>
    <t>TL</t>
  </si>
  <si>
    <t>East Timor</t>
  </si>
  <si>
    <t>TM</t>
  </si>
  <si>
    <t>Turkmenistan</t>
  </si>
  <si>
    <t>Tunisia</t>
  </si>
  <si>
    <t>TO</t>
  </si>
  <si>
    <t>Tonga</t>
  </si>
  <si>
    <t>TR</t>
  </si>
  <si>
    <t>Turkey</t>
  </si>
  <si>
    <t>TT</t>
  </si>
  <si>
    <t>Trinidad and Tobago</t>
  </si>
  <si>
    <t>TV</t>
  </si>
  <si>
    <t>Tuvalu</t>
  </si>
  <si>
    <t>TW</t>
  </si>
  <si>
    <t>Taiwan</t>
  </si>
  <si>
    <t>TZ</t>
  </si>
  <si>
    <t>Tanzania</t>
  </si>
  <si>
    <t>Ukraine</t>
  </si>
  <si>
    <t>UG</t>
  </si>
  <si>
    <t>Uganda</t>
  </si>
  <si>
    <t>United States</t>
  </si>
  <si>
    <t>UY</t>
  </si>
  <si>
    <t>Uruguay</t>
  </si>
  <si>
    <t>UZ</t>
  </si>
  <si>
    <t>Uzbekistan</t>
  </si>
  <si>
    <t>VC</t>
  </si>
  <si>
    <t>St. Vincent &amp; Grenadines</t>
  </si>
  <si>
    <t>VE</t>
  </si>
  <si>
    <t>Venezuela</t>
  </si>
  <si>
    <t>VG</t>
  </si>
  <si>
    <t>British Virgin Islands</t>
  </si>
  <si>
    <t>VI</t>
  </si>
  <si>
    <t>US Virgin Islands</t>
  </si>
  <si>
    <t>VN</t>
  </si>
  <si>
    <t>Vietnam</t>
  </si>
  <si>
    <t>VU</t>
  </si>
  <si>
    <t>Vanuatu</t>
  </si>
  <si>
    <t>WS</t>
  </si>
  <si>
    <t>Samoa</t>
  </si>
  <si>
    <t>XA</t>
  </si>
  <si>
    <t>United Arab Emirates (XA)</t>
  </si>
  <si>
    <t>XB</t>
  </si>
  <si>
    <t>Bonaire</t>
  </si>
  <si>
    <t>XC</t>
  </si>
  <si>
    <t>Curacao</t>
  </si>
  <si>
    <t>XE</t>
  </si>
  <si>
    <t>St. Eustatius</t>
  </si>
  <si>
    <t>XG</t>
  </si>
  <si>
    <t>GLOBAL MAIL</t>
  </si>
  <si>
    <t>XL</t>
  </si>
  <si>
    <t>Worldwide Express Logistics</t>
  </si>
  <si>
    <t>XM</t>
  </si>
  <si>
    <t>St. Maarten</t>
  </si>
  <si>
    <t>XN</t>
  </si>
  <si>
    <t>Nevis</t>
  </si>
  <si>
    <t>XS</t>
  </si>
  <si>
    <t>Somaliland</t>
  </si>
  <si>
    <t>XY</t>
  </si>
  <si>
    <t>St. Barthelemy</t>
  </si>
  <si>
    <t>YE</t>
  </si>
  <si>
    <t>Yemen</t>
  </si>
  <si>
    <t>YT</t>
  </si>
  <si>
    <t>Mayotte</t>
  </si>
  <si>
    <t>YU</t>
  </si>
  <si>
    <t>unknown - YU</t>
  </si>
  <si>
    <t>South Africa</t>
  </si>
  <si>
    <t>ZM</t>
  </si>
  <si>
    <t>Zambia</t>
  </si>
  <si>
    <t>ZW</t>
  </si>
  <si>
    <t>Zimbabwe</t>
  </si>
  <si>
    <t>City</t>
  </si>
  <si>
    <t>Country</t>
  </si>
  <si>
    <t>Postal code</t>
  </si>
  <si>
    <t>DHL - Postal Code</t>
  </si>
  <si>
    <t>DHL - CITY</t>
  </si>
  <si>
    <t>Posta Kodu</t>
  </si>
  <si>
    <t>Sehir</t>
  </si>
  <si>
    <t>Ulke Kodu</t>
  </si>
  <si>
    <t>DHL - Posta Kodu</t>
  </si>
  <si>
    <t>DHL - Sehir</t>
  </si>
  <si>
    <t>MUSTERI VERISI</t>
  </si>
  <si>
    <t>DHL SONUCLARI</t>
  </si>
  <si>
    <t>count</t>
  </si>
  <si>
    <t>cityName</t>
  </si>
  <si>
    <t>suburbName</t>
  </si>
  <si>
    <t>postcode</t>
  </si>
  <si>
    <t>errorCode</t>
  </si>
  <si>
    <t>errorMessage</t>
  </si>
  <si>
    <t>INDIANAPOLIS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</si>
</sst>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8"/>
      <color theme="1"/>
      <name val="Calibri Light"/>
      <family val="2"/>
      <scheme val="major"/>
    </font>
    <font>
      <sz val="11"/>
      <color theme="1"/>
      <name val="Calibri"/>
      <family val="2"/>
      <charset val="16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62"/>
      <scheme val="minor"/>
    </font>
    <font>
      <sz val="12"/>
      <color theme="1"/>
      <name val="Calibri Light"/>
      <family val="2"/>
      <charset val="16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1" applyFont="1"/>
    <xf numFmtId="0" fontId="2" fillId="0" borderId="0" xfId="1"/>
    <xf numFmtId="49" fontId="0" fillId="0" borderId="0" xfId="0" applyNumberFormat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Continuous" vertical="center"/>
    </xf>
    <xf numFmtId="0" fontId="4" fillId="3" borderId="0" xfId="0" applyFont="1" applyFill="1" applyAlignment="1">
      <alignment horizontal="centerContinuous" vertical="center"/>
    </xf>
    <xf numFmtId="49" fontId="6" fillId="0" borderId="0" xfId="0" applyNumberFormat="1" applyFont="1" applyFill="1" applyAlignment="1">
      <alignment horizontal="center"/>
    </xf>
    <xf numFmtId="49" fontId="7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/>
    </xf>
  </cellXfs>
  <cellStyles count="2">
    <cellStyle name="Normal" xfId="0" builtinId="0"/>
    <cellStyle name="Normal 2" xfId="1" xr:uid="{37C18780-8618-438B-8743-FA8B0F980B5B}"/>
  </cellStyles>
  <dxfs count="13"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z val="12"/>
        <name val="Calibri Light"/>
        <family val="2"/>
        <charset val="162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z val="12"/>
        <name val="Calibri Light"/>
        <family val="2"/>
        <charset val="162"/>
        <scheme val="maj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z val="12"/>
        <charset val="162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</xdr:colOff>
      <xdr:row>0</xdr:row>
      <xdr:rowOff>106680</xdr:rowOff>
    </xdr:from>
    <xdr:to>
      <xdr:col>2</xdr:col>
      <xdr:colOff>1916430</xdr:colOff>
      <xdr:row>0</xdr:row>
      <xdr:rowOff>411480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926EB8-8019-FFD6-0F4B-F95A36629C9F}"/>
            </a:ext>
          </a:extLst>
        </xdr:cNvPr>
        <xdr:cNvGrpSpPr/>
      </xdr:nvGrpSpPr>
      <xdr:grpSpPr>
        <a:xfrm>
          <a:off x="106680" y="106680"/>
          <a:ext cx="4162425" cy="304800"/>
          <a:chOff x="0" y="0"/>
          <a:chExt cx="4267200" cy="304800"/>
        </a:xfrm>
      </xdr:grpSpPr>
      <xdr:sp macro="[0]!Analyse.RunAnalysis" textlink="">
        <xdr:nvSpPr>
          <xdr:cNvPr id="2" name="BTN_RUN">
            <a:extLst>
              <a:ext uri="{FF2B5EF4-FFF2-40B4-BE49-F238E27FC236}">
                <a16:creationId xmlns:a16="http://schemas.microsoft.com/office/drawing/2014/main" id="{7D9FDA2F-1BAB-45D4-B18E-9B116952D8CE}"/>
              </a:ext>
            </a:extLst>
          </xdr:cNvPr>
          <xdr:cNvSpPr/>
        </xdr:nvSpPr>
        <xdr:spPr>
          <a:xfrm>
            <a:off x="1950720" y="0"/>
            <a:ext cx="1120140" cy="304800"/>
          </a:xfrm>
          <a:prstGeom prst="round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tr-TR" sz="1050">
                <a:solidFill>
                  <a:schemeClr val="lt1"/>
                </a:solidFill>
                <a:latin typeface="+mn-lt"/>
                <a:ea typeface="+mn-ea"/>
                <a:cs typeface="+mn-cs"/>
              </a:rPr>
              <a:t>Kontrol</a:t>
            </a:r>
            <a:r>
              <a:rPr lang="tr-TR" sz="105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Et</a:t>
            </a:r>
            <a:endParaRPr lang="en-US" sz="105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ImportData_Click" textlink="">
        <xdr:nvSpPr>
          <xdr:cNvPr id="3" name="BTN_ImportData">
            <a:extLst>
              <a:ext uri="{FF2B5EF4-FFF2-40B4-BE49-F238E27FC236}">
                <a16:creationId xmlns:a16="http://schemas.microsoft.com/office/drawing/2014/main" id="{0917E495-286C-42EE-865E-A68E784EE2FE}"/>
              </a:ext>
            </a:extLst>
          </xdr:cNvPr>
          <xdr:cNvSpPr/>
        </xdr:nvSpPr>
        <xdr:spPr>
          <a:xfrm>
            <a:off x="0" y="0"/>
            <a:ext cx="1859280" cy="3048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050"/>
              <a:t>Veriyi Aktar</a:t>
            </a:r>
            <a:endParaRPr lang="en-US" sz="1050"/>
          </a:p>
        </xdr:txBody>
      </xdr:sp>
      <xdr:sp macro="[0]!ClearAll_Click" textlink="">
        <xdr:nvSpPr>
          <xdr:cNvPr id="4" name="BTN_RUN">
            <a:extLst>
              <a:ext uri="{FF2B5EF4-FFF2-40B4-BE49-F238E27FC236}">
                <a16:creationId xmlns:a16="http://schemas.microsoft.com/office/drawing/2014/main" id="{004FCE13-1449-4C9B-94D4-0EDD3ED74BC6}"/>
              </a:ext>
            </a:extLst>
          </xdr:cNvPr>
          <xdr:cNvSpPr/>
        </xdr:nvSpPr>
        <xdr:spPr>
          <a:xfrm>
            <a:off x="3147060" y="0"/>
            <a:ext cx="1120140" cy="304800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tr-TR" sz="1050">
                <a:solidFill>
                  <a:schemeClr val="lt1"/>
                </a:solidFill>
                <a:latin typeface="+mn-lt"/>
                <a:ea typeface="+mn-ea"/>
                <a:cs typeface="+mn-cs"/>
              </a:rPr>
              <a:t>Hepsini</a:t>
            </a:r>
            <a:r>
              <a:rPr lang="tr-TR" sz="1050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Temizle</a:t>
            </a:r>
            <a:endParaRPr lang="en-US" sz="105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F7E2E9-4471-445A-8464-FB459D258C4D}" name="MyTable" displayName="MyTable" ref="A3:F4" insertRow="1" totalsRowShown="0" headerRowDxfId="7" dataDxfId="6">
  <autoFilter ref="A3:F4" xr:uid="{65F7E2E9-4471-445A-8464-FB459D258C4D}"/>
  <tableColumns count="6">
    <tableColumn id="1" xr3:uid="{1563EBE8-CA4F-4E21-86E1-8762B8CA873E}" name="Ulke Kodu" dataDxfId="5"/>
    <tableColumn id="2" xr3:uid="{6EEF5B72-2A8E-47C9-8A19-48711893D534}" name="Posta Kodu" dataDxfId="4"/>
    <tableColumn id="3" xr3:uid="{B9249851-FB5D-4601-9C12-060A7F5BEEB2}" name="Sehir" dataDxfId="3"/>
    <tableColumn id="4" xr3:uid="{3AC72544-0605-4AA1-B9D7-2D060324B349}" name="C/CP" dataDxfId="2"/>
    <tableColumn id="5" xr3:uid="{980A408E-2543-4B88-8AF0-0823669D0637}" name="DHL - Posta Kodu" dataDxfId="1"/>
    <tableColumn id="6" xr3:uid="{EAFAA1C6-5799-40B2-B3CC-988A553081AE}" name="DHL - Sehir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5" xr:uid="{D354109B-BA4B-4848-A2B6-7EBAA6D4DF01}" name="Table2195" displayName="Table2195" ref="C1:H63" totalsRowShown="0">
  <autoFilter ref="C1:H63" xr:uid="{D354109B-BA4B-4848-A2B6-7EBAA6D4DF01}"/>
  <tableColumns count="6">
    <tableColumn id="1" xr3:uid="{F029612D-076E-4A87-BB52-45E4FB1EB28B}" name="count"/>
    <tableColumn id="2" xr3:uid="{781F517E-30D9-4CD1-B8F0-BFF4FB62EA01}" name="cityName"/>
    <tableColumn id="3" xr3:uid="{1A80317D-8764-4534-A66D-083A11E8235A}" name="suburbName"/>
    <tableColumn id="4" xr3:uid="{1DA62353-DC54-47D3-A49C-E7ABE4987F95}" name="postcode"/>
    <tableColumn id="5" xr3:uid="{547C5B54-4F44-4C17-90F9-C6274149EE97}" name="errorCode"/>
    <tableColumn id="6" xr3:uid="{D8A092F1-2C46-427B-A851-300BC0DA7185}" name="errorMess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57CE-398D-45EB-94E6-01EA31B5DF29}">
  <sheetPr codeName="SH_DATA_GIRIS">
    <tabColor theme="9" tint="0.39997558519241921"/>
  </sheetPr>
  <dimension ref="A1:F205"/>
  <sheetViews>
    <sheetView showGridLines="0" tabSelected="1" workbookViewId="0">
      <selection activeCell="D12" sqref="D12"/>
    </sheetView>
  </sheetViews>
  <sheetFormatPr defaultRowHeight="15" x14ac:dyDescent="0.25"/>
  <cols>
    <col min="1" max="1" width="14.140625" style="3" customWidth="1"/>
    <col min="2" max="2" width="21.140625" style="3" customWidth="1"/>
    <col min="3" max="3" width="30.5703125" style="3" bestFit="1" customWidth="1"/>
    <col min="4" max="4" width="11.140625" style="7" customWidth="1"/>
    <col min="5" max="5" width="20.7109375" style="1" customWidth="1"/>
    <col min="6" max="6" width="19.7109375" customWidth="1"/>
  </cols>
  <sheetData>
    <row r="1" spans="1:6" ht="49.15" customHeight="1" x14ac:dyDescent="0.25"/>
    <row r="2" spans="1:6" x14ac:dyDescent="0.25">
      <c r="A2" s="9" t="s">
        <v>487</v>
      </c>
      <c r="B2" s="9"/>
      <c r="C2" s="9"/>
      <c r="D2" s="8" t="s">
        <v>488</v>
      </c>
      <c r="E2" s="8"/>
      <c r="F2" s="8"/>
    </row>
    <row r="3" spans="1:6" s="1" customFormat="1" ht="17.45" customHeight="1" x14ac:dyDescent="0.25">
      <c r="A3" s="2" t="s">
        <v>484</v>
      </c>
      <c r="B3" s="2" t="s">
        <v>482</v>
      </c>
      <c r="C3" s="2" t="s">
        <v>483</v>
      </c>
      <c r="D3" s="2" t="s">
        <v>0</v>
      </c>
      <c r="E3" s="2" t="s">
        <v>485</v>
      </c>
      <c r="F3" s="2" t="s">
        <v>486</v>
      </c>
    </row>
    <row r="4" spans="1:6" ht="15.6" customHeight="1" x14ac:dyDescent="0.25">
      <c r="A4" s="10"/>
      <c r="B4" s="11"/>
      <c r="C4" s="12"/>
      <c r="D4" s="13"/>
      <c r="E4" s="14"/>
      <c r="F4" s="15"/>
    </row>
    <row r="5" spans="1:6" ht="15.6" customHeight="1" x14ac:dyDescent="0.25"/>
    <row r="6" spans="1:6" ht="15.6" customHeight="1" x14ac:dyDescent="0.25"/>
    <row r="7" spans="1:6" ht="15.6" customHeight="1" x14ac:dyDescent="0.25"/>
    <row r="8" spans="1:6" ht="15.6" customHeight="1" x14ac:dyDescent="0.25"/>
    <row r="9" spans="1:6" ht="15.6" customHeight="1" x14ac:dyDescent="0.25"/>
    <row r="10" spans="1:6" ht="15.6" customHeight="1" x14ac:dyDescent="0.25"/>
    <row r="11" spans="1:6" ht="15.6" customHeight="1" x14ac:dyDescent="0.25"/>
    <row r="12" spans="1:6" ht="15.6" customHeight="1" x14ac:dyDescent="0.25"/>
    <row r="13" spans="1:6" ht="15.6" customHeight="1" x14ac:dyDescent="0.25"/>
    <row r="14" spans="1:6" ht="15.6" customHeight="1" x14ac:dyDescent="0.25"/>
    <row r="15" spans="1:6" ht="15.6" customHeight="1" x14ac:dyDescent="0.25"/>
    <row r="16" spans="1:6" ht="15.6" customHeight="1" x14ac:dyDescent="0.25"/>
    <row r="17" ht="15.6" customHeight="1" x14ac:dyDescent="0.25"/>
    <row r="18" ht="15.6" customHeight="1" x14ac:dyDescent="0.25"/>
    <row r="19" ht="15.6" customHeight="1" x14ac:dyDescent="0.25"/>
    <row r="20" ht="15.6" customHeight="1" x14ac:dyDescent="0.25"/>
    <row r="21" ht="15.6" customHeight="1" x14ac:dyDescent="0.25"/>
    <row r="22" ht="15.6" customHeight="1" x14ac:dyDescent="0.25"/>
    <row r="23" ht="15.6" customHeight="1" x14ac:dyDescent="0.25"/>
    <row r="24" ht="15.6" customHeight="1" x14ac:dyDescent="0.25"/>
    <row r="25" ht="15.6" customHeight="1" x14ac:dyDescent="0.25"/>
    <row r="26" ht="15.6" customHeight="1" x14ac:dyDescent="0.25"/>
    <row r="27" ht="15.6" customHeight="1" x14ac:dyDescent="0.25"/>
    <row r="28" ht="15.6" customHeight="1" x14ac:dyDescent="0.25"/>
    <row r="29" ht="15.6" customHeight="1" x14ac:dyDescent="0.25"/>
    <row r="30" ht="15.6" customHeight="1" x14ac:dyDescent="0.25"/>
    <row r="31" ht="15.6" customHeight="1" x14ac:dyDescent="0.25"/>
    <row r="32" ht="15.6" customHeight="1" x14ac:dyDescent="0.25"/>
    <row r="33" ht="15.6" customHeight="1" x14ac:dyDescent="0.25"/>
    <row r="34" ht="15.6" customHeight="1" x14ac:dyDescent="0.25"/>
    <row r="35" ht="15.6" customHeight="1" x14ac:dyDescent="0.25"/>
    <row r="36" ht="15.6" customHeight="1" x14ac:dyDescent="0.25"/>
    <row r="37" ht="15.6" customHeight="1" x14ac:dyDescent="0.25"/>
    <row r="38" ht="15.6" customHeight="1" x14ac:dyDescent="0.25"/>
    <row r="39" ht="15.6" customHeight="1" x14ac:dyDescent="0.25"/>
    <row r="40" ht="15.6" customHeight="1" x14ac:dyDescent="0.25"/>
    <row r="41" ht="15.6" customHeight="1" x14ac:dyDescent="0.25"/>
    <row r="42" ht="15.6" customHeight="1" x14ac:dyDescent="0.25"/>
    <row r="43" ht="15.6" customHeight="1" x14ac:dyDescent="0.25"/>
    <row r="44" ht="15.6" customHeight="1" x14ac:dyDescent="0.25"/>
    <row r="45" ht="15.6" customHeight="1" x14ac:dyDescent="0.25"/>
    <row r="46" ht="15.6" customHeight="1" x14ac:dyDescent="0.25"/>
    <row r="47" ht="15.6" customHeight="1" x14ac:dyDescent="0.25"/>
    <row r="48" ht="15.6" customHeight="1" x14ac:dyDescent="0.25"/>
    <row r="49" ht="15.6" customHeight="1" x14ac:dyDescent="0.25"/>
    <row r="50" ht="15.6" customHeight="1" x14ac:dyDescent="0.25"/>
    <row r="51" ht="15.6" customHeight="1" x14ac:dyDescent="0.25"/>
    <row r="52" ht="15.6" customHeight="1" x14ac:dyDescent="0.25"/>
    <row r="53" ht="15.6" customHeight="1" x14ac:dyDescent="0.25"/>
    <row r="54" ht="15.6" customHeight="1" x14ac:dyDescent="0.25"/>
    <row r="55" ht="15.6" customHeight="1" x14ac:dyDescent="0.25"/>
    <row r="56" ht="15.6" customHeight="1" x14ac:dyDescent="0.25"/>
    <row r="57" ht="15.6" customHeight="1" x14ac:dyDescent="0.25"/>
    <row r="58" ht="15.6" customHeight="1" x14ac:dyDescent="0.25"/>
    <row r="59" ht="15.6" customHeight="1" x14ac:dyDescent="0.25"/>
    <row r="60" ht="15.6" customHeight="1" x14ac:dyDescent="0.25"/>
    <row r="61" ht="15.6" customHeight="1" x14ac:dyDescent="0.25"/>
    <row r="62" ht="15.6" customHeight="1" x14ac:dyDescent="0.25"/>
    <row r="63" ht="15.6" customHeight="1" x14ac:dyDescent="0.25"/>
    <row r="64" ht="15.6" customHeight="1" x14ac:dyDescent="0.25"/>
    <row r="65" ht="15.6" customHeight="1" x14ac:dyDescent="0.25"/>
    <row r="66" ht="15.6" customHeight="1" x14ac:dyDescent="0.25"/>
    <row r="67" ht="15.6" customHeight="1" x14ac:dyDescent="0.25"/>
    <row r="68" ht="15.6" customHeight="1" x14ac:dyDescent="0.25"/>
    <row r="69" ht="15.6" customHeight="1" x14ac:dyDescent="0.25"/>
    <row r="70" ht="15.6" customHeight="1" x14ac:dyDescent="0.25"/>
    <row r="71" ht="15.6" customHeight="1" x14ac:dyDescent="0.25"/>
    <row r="72" ht="15.6" customHeight="1" x14ac:dyDescent="0.25"/>
    <row r="73" ht="15.6" customHeight="1" x14ac:dyDescent="0.25"/>
    <row r="74" ht="15.6" customHeight="1" x14ac:dyDescent="0.25"/>
    <row r="75" ht="15.6" customHeight="1" x14ac:dyDescent="0.25"/>
    <row r="76" ht="15.6" customHeight="1" x14ac:dyDescent="0.25"/>
    <row r="77" ht="15.6" customHeight="1" x14ac:dyDescent="0.25"/>
    <row r="78" ht="15.6" customHeight="1" x14ac:dyDescent="0.25"/>
    <row r="79" ht="15.6" customHeight="1" x14ac:dyDescent="0.25"/>
    <row r="80" ht="15.6" customHeight="1" x14ac:dyDescent="0.25"/>
    <row r="81" ht="15.6" customHeight="1" x14ac:dyDescent="0.25"/>
    <row r="82" ht="15.6" customHeight="1" x14ac:dyDescent="0.25"/>
    <row r="83" ht="15.6" customHeight="1" x14ac:dyDescent="0.25"/>
    <row r="84" ht="15.6" customHeight="1" x14ac:dyDescent="0.25"/>
    <row r="85" ht="15.6" customHeight="1" x14ac:dyDescent="0.25"/>
    <row r="86" ht="15.6" customHeight="1" x14ac:dyDescent="0.25"/>
    <row r="87" ht="15.6" customHeight="1" x14ac:dyDescent="0.25"/>
    <row r="88" ht="15.6" customHeight="1" x14ac:dyDescent="0.25"/>
    <row r="89" ht="15.6" customHeight="1" x14ac:dyDescent="0.25"/>
    <row r="90" ht="15.6" customHeight="1" x14ac:dyDescent="0.25"/>
    <row r="91" ht="15.6" customHeight="1" x14ac:dyDescent="0.25"/>
    <row r="92" ht="15.6" customHeight="1" x14ac:dyDescent="0.25"/>
    <row r="93" ht="15.6" customHeight="1" x14ac:dyDescent="0.25"/>
    <row r="94" ht="15.6" customHeight="1" x14ac:dyDescent="0.25"/>
    <row r="95" ht="15.6" customHeight="1" x14ac:dyDescent="0.25"/>
    <row r="96" ht="15.6" customHeight="1" x14ac:dyDescent="0.25"/>
    <row r="97" ht="15.6" customHeight="1" x14ac:dyDescent="0.25"/>
    <row r="98" ht="15.6" customHeight="1" x14ac:dyDescent="0.25"/>
    <row r="99" ht="15.6" customHeight="1" x14ac:dyDescent="0.25"/>
    <row r="100" ht="15.6" customHeight="1" x14ac:dyDescent="0.25"/>
    <row r="101" ht="15.6" customHeight="1" x14ac:dyDescent="0.25"/>
    <row r="102" ht="15.6" customHeight="1" x14ac:dyDescent="0.25"/>
    <row r="103" ht="15.6" customHeight="1" x14ac:dyDescent="0.25"/>
    <row r="104" ht="15.6" customHeight="1" x14ac:dyDescent="0.25"/>
    <row r="105" ht="15.6" customHeight="1" x14ac:dyDescent="0.25"/>
    <row r="106" ht="15.6" customHeight="1" x14ac:dyDescent="0.25"/>
    <row r="107" ht="15.6" customHeight="1" x14ac:dyDescent="0.25"/>
    <row r="108" ht="15.6" customHeight="1" x14ac:dyDescent="0.25"/>
    <row r="109" ht="15.6" customHeight="1" x14ac:dyDescent="0.25"/>
    <row r="110" ht="15.6" customHeight="1" x14ac:dyDescent="0.25"/>
    <row r="111" ht="15.6" customHeight="1" x14ac:dyDescent="0.25"/>
    <row r="112" ht="15.6" customHeight="1" x14ac:dyDescent="0.25"/>
    <row r="113" ht="15.6" customHeight="1" x14ac:dyDescent="0.25"/>
    <row r="114" ht="15.6" customHeight="1" x14ac:dyDescent="0.25"/>
    <row r="115" ht="15.6" customHeight="1" x14ac:dyDescent="0.25"/>
    <row r="116" ht="15.6" customHeight="1" x14ac:dyDescent="0.25"/>
    <row r="117" ht="15.6" customHeight="1" x14ac:dyDescent="0.25"/>
    <row r="118" ht="15.6" customHeight="1" x14ac:dyDescent="0.25"/>
    <row r="119" ht="15.6" customHeight="1" x14ac:dyDescent="0.25"/>
    <row r="120" ht="15.6" customHeight="1" x14ac:dyDescent="0.25"/>
    <row r="121" ht="15.6" customHeight="1" x14ac:dyDescent="0.25"/>
    <row r="122" ht="15.6" customHeight="1" x14ac:dyDescent="0.25"/>
    <row r="123" ht="15.6" customHeight="1" x14ac:dyDescent="0.25"/>
    <row r="124" ht="15.6" customHeight="1" x14ac:dyDescent="0.25"/>
    <row r="125" ht="15.6" customHeight="1" x14ac:dyDescent="0.25"/>
    <row r="126" ht="15.6" customHeight="1" x14ac:dyDescent="0.25"/>
    <row r="127" ht="15.6" customHeight="1" x14ac:dyDescent="0.25"/>
    <row r="128" ht="15.6" customHeight="1" x14ac:dyDescent="0.25"/>
    <row r="129" ht="15.6" customHeight="1" x14ac:dyDescent="0.25"/>
    <row r="130" ht="15.6" customHeight="1" x14ac:dyDescent="0.25"/>
    <row r="131" ht="15.6" customHeight="1" x14ac:dyDescent="0.25"/>
    <row r="132" ht="15.6" customHeight="1" x14ac:dyDescent="0.25"/>
    <row r="133" ht="15.6" customHeight="1" x14ac:dyDescent="0.25"/>
    <row r="134" ht="15.6" customHeight="1" x14ac:dyDescent="0.25"/>
    <row r="135" ht="15.6" customHeight="1" x14ac:dyDescent="0.25"/>
    <row r="136" ht="15.6" customHeight="1" x14ac:dyDescent="0.25"/>
    <row r="137" ht="15.6" customHeight="1" x14ac:dyDescent="0.25"/>
    <row r="138" ht="15.6" customHeight="1" x14ac:dyDescent="0.25"/>
    <row r="139" ht="15.6" customHeight="1" x14ac:dyDescent="0.25"/>
    <row r="140" ht="15.6" customHeight="1" x14ac:dyDescent="0.25"/>
    <row r="141" ht="15.6" customHeight="1" x14ac:dyDescent="0.25"/>
    <row r="142" ht="15.6" customHeight="1" x14ac:dyDescent="0.25"/>
    <row r="143" ht="15.6" customHeight="1" x14ac:dyDescent="0.25"/>
    <row r="144" ht="15.6" customHeight="1" x14ac:dyDescent="0.25"/>
    <row r="145" ht="15.6" customHeight="1" x14ac:dyDescent="0.25"/>
    <row r="146" ht="15.6" customHeight="1" x14ac:dyDescent="0.25"/>
    <row r="147" ht="15.6" customHeight="1" x14ac:dyDescent="0.25"/>
    <row r="148" ht="15.6" customHeight="1" x14ac:dyDescent="0.25"/>
    <row r="149" ht="15.6" customHeight="1" x14ac:dyDescent="0.25"/>
    <row r="150" ht="15.6" customHeight="1" x14ac:dyDescent="0.25"/>
    <row r="151" ht="15.6" customHeight="1" x14ac:dyDescent="0.25"/>
    <row r="152" ht="15.6" customHeight="1" x14ac:dyDescent="0.25"/>
    <row r="153" ht="15.6" customHeight="1" x14ac:dyDescent="0.25"/>
    <row r="154" ht="15.6" customHeight="1" x14ac:dyDescent="0.25"/>
    <row r="155" ht="15.6" customHeight="1" x14ac:dyDescent="0.25"/>
    <row r="156" ht="15.6" customHeight="1" x14ac:dyDescent="0.25"/>
    <row r="157" ht="15.6" customHeight="1" x14ac:dyDescent="0.25"/>
    <row r="158" ht="15.6" customHeight="1" x14ac:dyDescent="0.25"/>
    <row r="159" ht="15.6" customHeight="1" x14ac:dyDescent="0.25"/>
    <row r="160" ht="15.6" customHeight="1" x14ac:dyDescent="0.25"/>
    <row r="161" ht="15.6" customHeight="1" x14ac:dyDescent="0.25"/>
    <row r="162" ht="15.6" customHeight="1" x14ac:dyDescent="0.25"/>
    <row r="163" ht="15.6" customHeight="1" x14ac:dyDescent="0.25"/>
    <row r="164" ht="15.6" customHeight="1" x14ac:dyDescent="0.25"/>
    <row r="165" ht="15.6" customHeight="1" x14ac:dyDescent="0.25"/>
    <row r="166" ht="15.6" customHeight="1" x14ac:dyDescent="0.25"/>
    <row r="167" ht="15.6" customHeight="1" x14ac:dyDescent="0.25"/>
    <row r="168" ht="15.6" customHeight="1" x14ac:dyDescent="0.25"/>
    <row r="169" ht="15.6" customHeight="1" x14ac:dyDescent="0.25"/>
    <row r="170" ht="15.6" customHeight="1" x14ac:dyDescent="0.25"/>
    <row r="171" ht="15.6" customHeight="1" x14ac:dyDescent="0.25"/>
    <row r="172" ht="15.6" customHeight="1" x14ac:dyDescent="0.25"/>
    <row r="173" ht="15.6" customHeight="1" x14ac:dyDescent="0.25"/>
    <row r="174" ht="15.6" customHeight="1" x14ac:dyDescent="0.25"/>
    <row r="175" ht="15.6" customHeight="1" x14ac:dyDescent="0.25"/>
    <row r="176" ht="15.6" customHeight="1" x14ac:dyDescent="0.25"/>
    <row r="177" ht="15.6" customHeight="1" x14ac:dyDescent="0.25"/>
    <row r="178" ht="15.6" customHeight="1" x14ac:dyDescent="0.25"/>
    <row r="179" ht="15.6" customHeight="1" x14ac:dyDescent="0.25"/>
    <row r="180" ht="15.6" customHeight="1" x14ac:dyDescent="0.25"/>
    <row r="181" ht="15.6" customHeight="1" x14ac:dyDescent="0.25"/>
    <row r="182" ht="15.6" customHeight="1" x14ac:dyDescent="0.25"/>
    <row r="183" ht="15.6" customHeight="1" x14ac:dyDescent="0.25"/>
    <row r="184" ht="15.6" customHeight="1" x14ac:dyDescent="0.25"/>
    <row r="185" ht="15.6" customHeight="1" x14ac:dyDescent="0.25"/>
    <row r="186" ht="15.6" customHeight="1" x14ac:dyDescent="0.25"/>
    <row r="187" ht="15.6" customHeight="1" x14ac:dyDescent="0.25"/>
    <row r="188" ht="15.6" customHeight="1" x14ac:dyDescent="0.25"/>
    <row r="189" ht="15.6" customHeight="1" x14ac:dyDescent="0.25"/>
    <row r="190" ht="15.6" customHeight="1" x14ac:dyDescent="0.25"/>
    <row r="191" ht="15.6" customHeight="1" x14ac:dyDescent="0.25"/>
    <row r="192" ht="15.6" customHeight="1" x14ac:dyDescent="0.25"/>
    <row r="193" ht="15.6" customHeight="1" x14ac:dyDescent="0.25"/>
    <row r="194" ht="15.6" customHeight="1" x14ac:dyDescent="0.25"/>
    <row r="195" ht="15.6" customHeight="1" x14ac:dyDescent="0.25"/>
    <row r="196" ht="15.6" customHeight="1" x14ac:dyDescent="0.25"/>
    <row r="197" ht="15.6" customHeight="1" x14ac:dyDescent="0.25"/>
    <row r="198" ht="15.6" customHeight="1" x14ac:dyDescent="0.25"/>
    <row r="199" ht="15.6" customHeight="1" x14ac:dyDescent="0.25"/>
    <row r="200" ht="15.6" customHeight="1" x14ac:dyDescent="0.25"/>
    <row r="201" ht="15.6" customHeight="1" x14ac:dyDescent="0.25"/>
    <row r="202" ht="15.6" customHeight="1" x14ac:dyDescent="0.25"/>
    <row r="203" ht="15.6" customHeight="1" x14ac:dyDescent="0.25"/>
    <row r="204" ht="15.6" customHeight="1" x14ac:dyDescent="0.25"/>
    <row r="205" ht="15.6" customHeight="1" x14ac:dyDescent="0.25"/>
  </sheetData>
  <phoneticPr fontId="5" type="noConversion"/>
  <conditionalFormatting sqref="E4">
    <cfRule type="cellIs" dxfId="12" priority="4" operator="equal">
      <formula>"CP MEVCUT DEGIL"</formula>
    </cfRule>
    <cfRule type="expression" dxfId="11" priority="6">
      <formula>AND($E4&lt;&gt;"",$E4=$B4)</formula>
    </cfRule>
    <cfRule type="expression" dxfId="10" priority="7">
      <formula>AND($E4&lt;&gt;"",$E4&lt;&gt;$B4)</formula>
    </cfRule>
  </conditionalFormatting>
  <conditionalFormatting sqref="F4">
    <cfRule type="expression" dxfId="9" priority="1">
      <formula>$F4&lt;&gt;$C4</formula>
    </cfRule>
    <cfRule type="expression" dxfId="8" priority="3">
      <formula>AND($F4&lt;&gt;"",$F4=$C4)</formula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F2454-507C-4977-8230-FA08FC3C2B44}">
  <sheetPr codeName="SH_DATA_ZIP_CODE"/>
  <dimension ref="C1:K63"/>
  <sheetViews>
    <sheetView showGridLines="0" workbookViewId="0">
      <selection activeCell="C1" sqref="C1:H2"/>
    </sheetView>
  </sheetViews>
  <sheetFormatPr defaultRowHeight="15" x14ac:dyDescent="0.25"/>
  <cols>
    <col min="1" max="1" width="3.140625" bestFit="1" customWidth="1"/>
    <col min="2" max="2" width="18.28515625" bestFit="1" customWidth="1"/>
    <col min="3" max="3" width="8.140625" bestFit="1" customWidth="1"/>
    <col min="4" max="4" width="12.85546875" bestFit="1" customWidth="1"/>
    <col min="5" max="5" width="14.140625" bestFit="1" customWidth="1"/>
    <col min="6" max="6" width="11" bestFit="1" customWidth="1"/>
    <col min="7" max="7" width="11.7109375" bestFit="1" customWidth="1"/>
    <col min="8" max="8" width="14.7109375" bestFit="1" customWidth="1"/>
    <col min="9" max="9" width="13.7109375" customWidth="1"/>
  </cols>
  <sheetData>
    <row r="1" spans="3:11" x14ac:dyDescent="0.25">
      <c r="C1" t="s">
        <v>489</v>
      </c>
      <c r="D1" t="s">
        <v>490</v>
      </c>
      <c r="E1" t="s">
        <v>491</v>
      </c>
      <c r="F1" t="s">
        <v>492</v>
      </c>
      <c r="G1" t="s">
        <v>493</v>
      </c>
      <c r="H1" t="s">
        <v>494</v>
      </c>
    </row>
    <row r="2" spans="3:11" x14ac:dyDescent="0.25">
      <c r="C2">
        <v>62</v>
      </c>
      <c r="D2" s="6" t="s">
        <v>495</v>
      </c>
      <c r="E2" s="6"/>
      <c r="F2">
        <v>46201</v>
      </c>
      <c r="G2" s="6"/>
      <c r="H2" s="6"/>
    </row>
    <row r="3" spans="3:11" x14ac:dyDescent="0.25">
      <c r="C3">
        <v>62</v>
      </c>
      <c r="D3" s="6" t="s">
        <v>495</v>
      </c>
      <c r="E3" s="6"/>
      <c r="F3">
        <v>46202</v>
      </c>
      <c r="G3" s="6"/>
      <c r="H3" s="6"/>
      <c r="K3" cm="1">
        <f t="array" ref="K3">IFERROR(MATCH(TEXT("46221","0"),TEXT(DataZipCode!F2:F63,"0"),0),0)</f>
        <v>18</v>
      </c>
    </row>
    <row r="4" spans="3:11" x14ac:dyDescent="0.25">
      <c r="C4">
        <v>62</v>
      </c>
      <c r="D4" s="6" t="s">
        <v>495</v>
      </c>
      <c r="E4" s="6"/>
      <c r="F4">
        <v>46203</v>
      </c>
      <c r="G4" s="6"/>
      <c r="H4" s="6"/>
    </row>
    <row r="5" spans="3:11" x14ac:dyDescent="0.25">
      <c r="C5">
        <v>62</v>
      </c>
      <c r="D5" s="6" t="s">
        <v>495</v>
      </c>
      <c r="E5" s="6"/>
      <c r="F5">
        <v>46204</v>
      </c>
      <c r="G5" s="6"/>
      <c r="H5" s="6"/>
    </row>
    <row r="6" spans="3:11" x14ac:dyDescent="0.25">
      <c r="C6">
        <v>62</v>
      </c>
      <c r="D6" s="6" t="s">
        <v>495</v>
      </c>
      <c r="E6" s="6"/>
      <c r="F6">
        <v>46205</v>
      </c>
      <c r="G6" s="6"/>
      <c r="H6" s="6"/>
    </row>
    <row r="7" spans="3:11" x14ac:dyDescent="0.25">
      <c r="C7">
        <v>62</v>
      </c>
      <c r="D7" s="6" t="s">
        <v>495</v>
      </c>
      <c r="E7" s="6"/>
      <c r="F7">
        <v>46206</v>
      </c>
      <c r="G7" s="6"/>
      <c r="H7" s="6"/>
    </row>
    <row r="8" spans="3:11" x14ac:dyDescent="0.25">
      <c r="C8">
        <v>62</v>
      </c>
      <c r="D8" s="6" t="s">
        <v>495</v>
      </c>
      <c r="E8" s="6"/>
      <c r="F8">
        <v>46207</v>
      </c>
      <c r="G8" s="6"/>
      <c r="H8" s="6"/>
    </row>
    <row r="9" spans="3:11" x14ac:dyDescent="0.25">
      <c r="C9">
        <v>62</v>
      </c>
      <c r="D9" s="6" t="s">
        <v>495</v>
      </c>
      <c r="E9" s="6"/>
      <c r="F9">
        <v>46208</v>
      </c>
      <c r="G9" s="6"/>
      <c r="H9" s="6"/>
    </row>
    <row r="10" spans="3:11" x14ac:dyDescent="0.25">
      <c r="C10">
        <v>62</v>
      </c>
      <c r="D10" s="6" t="s">
        <v>495</v>
      </c>
      <c r="E10" s="6"/>
      <c r="F10">
        <v>46209</v>
      </c>
      <c r="G10" s="6"/>
      <c r="H10" s="6"/>
    </row>
    <row r="11" spans="3:11" x14ac:dyDescent="0.25">
      <c r="C11">
        <v>62</v>
      </c>
      <c r="D11" s="6" t="s">
        <v>495</v>
      </c>
      <c r="E11" s="6"/>
      <c r="F11">
        <v>46211</v>
      </c>
      <c r="G11" s="6"/>
      <c r="H11" s="6"/>
    </row>
    <row r="12" spans="3:11" x14ac:dyDescent="0.25">
      <c r="C12">
        <v>62</v>
      </c>
      <c r="D12" s="6" t="s">
        <v>495</v>
      </c>
      <c r="E12" s="6"/>
      <c r="F12">
        <v>46213</v>
      </c>
      <c r="G12" s="6"/>
      <c r="H12" s="6"/>
    </row>
    <row r="13" spans="3:11" x14ac:dyDescent="0.25">
      <c r="C13">
        <v>62</v>
      </c>
      <c r="D13" s="6" t="s">
        <v>495</v>
      </c>
      <c r="E13" s="6"/>
      <c r="F13">
        <v>46214</v>
      </c>
      <c r="G13" s="6"/>
      <c r="H13" s="6"/>
    </row>
    <row r="14" spans="3:11" x14ac:dyDescent="0.25">
      <c r="C14">
        <v>62</v>
      </c>
      <c r="D14" s="6" t="s">
        <v>495</v>
      </c>
      <c r="E14" s="6"/>
      <c r="F14">
        <v>46216</v>
      </c>
      <c r="G14" s="6"/>
      <c r="H14" s="6"/>
    </row>
    <row r="15" spans="3:11" x14ac:dyDescent="0.25">
      <c r="C15">
        <v>62</v>
      </c>
      <c r="D15" s="6" t="s">
        <v>495</v>
      </c>
      <c r="E15" s="6"/>
      <c r="F15">
        <v>46217</v>
      </c>
      <c r="G15" s="6"/>
      <c r="H15" s="6"/>
    </row>
    <row r="16" spans="3:11" x14ac:dyDescent="0.25">
      <c r="C16">
        <v>62</v>
      </c>
      <c r="D16" s="6" t="s">
        <v>495</v>
      </c>
      <c r="E16" s="6"/>
      <c r="F16">
        <v>46218</v>
      </c>
      <c r="G16" s="6"/>
      <c r="H16" s="6"/>
    </row>
    <row r="17" spans="3:8" x14ac:dyDescent="0.25">
      <c r="C17">
        <v>62</v>
      </c>
      <c r="D17" s="6" t="s">
        <v>495</v>
      </c>
      <c r="E17" s="6"/>
      <c r="F17">
        <v>46219</v>
      </c>
      <c r="G17" s="6"/>
      <c r="H17" s="6"/>
    </row>
    <row r="18" spans="3:8" x14ac:dyDescent="0.25">
      <c r="C18">
        <v>62</v>
      </c>
      <c r="D18" s="6" t="s">
        <v>495</v>
      </c>
      <c r="E18" s="6"/>
      <c r="F18">
        <v>46220</v>
      </c>
      <c r="G18" s="6"/>
      <c r="H18" s="6"/>
    </row>
    <row r="19" spans="3:8" x14ac:dyDescent="0.25">
      <c r="C19">
        <v>62</v>
      </c>
      <c r="D19" s="6" t="s">
        <v>495</v>
      </c>
      <c r="E19" s="6"/>
      <c r="F19">
        <v>46221</v>
      </c>
      <c r="G19" s="6"/>
      <c r="H19" s="6"/>
    </row>
    <row r="20" spans="3:8" x14ac:dyDescent="0.25">
      <c r="C20">
        <v>62</v>
      </c>
      <c r="D20" s="6" t="s">
        <v>495</v>
      </c>
      <c r="E20" s="6"/>
      <c r="F20">
        <v>46222</v>
      </c>
      <c r="G20" s="6"/>
      <c r="H20" s="6"/>
    </row>
    <row r="21" spans="3:8" x14ac:dyDescent="0.25">
      <c r="C21">
        <v>62</v>
      </c>
      <c r="D21" s="6" t="s">
        <v>495</v>
      </c>
      <c r="E21" s="6"/>
      <c r="F21">
        <v>46224</v>
      </c>
      <c r="G21" s="6"/>
      <c r="H21" s="6"/>
    </row>
    <row r="22" spans="3:8" x14ac:dyDescent="0.25">
      <c r="C22">
        <v>62</v>
      </c>
      <c r="D22" s="6" t="s">
        <v>495</v>
      </c>
      <c r="E22" s="6"/>
      <c r="F22">
        <v>46225</v>
      </c>
      <c r="G22" s="6"/>
      <c r="H22" s="6"/>
    </row>
    <row r="23" spans="3:8" x14ac:dyDescent="0.25">
      <c r="C23">
        <v>62</v>
      </c>
      <c r="D23" s="6" t="s">
        <v>495</v>
      </c>
      <c r="E23" s="6"/>
      <c r="F23">
        <v>46226</v>
      </c>
      <c r="G23" s="6"/>
      <c r="H23" s="6"/>
    </row>
    <row r="24" spans="3:8" x14ac:dyDescent="0.25">
      <c r="C24">
        <v>62</v>
      </c>
      <c r="D24" s="6" t="s">
        <v>495</v>
      </c>
      <c r="E24" s="6"/>
      <c r="F24">
        <v>46227</v>
      </c>
      <c r="G24" s="6"/>
      <c r="H24" s="6"/>
    </row>
    <row r="25" spans="3:8" x14ac:dyDescent="0.25">
      <c r="C25">
        <v>62</v>
      </c>
      <c r="D25" s="6" t="s">
        <v>495</v>
      </c>
      <c r="E25" s="6"/>
      <c r="F25">
        <v>46228</v>
      </c>
      <c r="G25" s="6"/>
      <c r="H25" s="6"/>
    </row>
    <row r="26" spans="3:8" x14ac:dyDescent="0.25">
      <c r="C26">
        <v>62</v>
      </c>
      <c r="D26" s="6" t="s">
        <v>495</v>
      </c>
      <c r="E26" s="6"/>
      <c r="F26">
        <v>46229</v>
      </c>
      <c r="G26" s="6"/>
      <c r="H26" s="6"/>
    </row>
    <row r="27" spans="3:8" x14ac:dyDescent="0.25">
      <c r="C27">
        <v>62</v>
      </c>
      <c r="D27" s="6" t="s">
        <v>495</v>
      </c>
      <c r="E27" s="6"/>
      <c r="F27">
        <v>46230</v>
      </c>
      <c r="G27" s="6"/>
      <c r="H27" s="6"/>
    </row>
    <row r="28" spans="3:8" x14ac:dyDescent="0.25">
      <c r="C28">
        <v>62</v>
      </c>
      <c r="D28" s="6" t="s">
        <v>495</v>
      </c>
      <c r="E28" s="6"/>
      <c r="F28">
        <v>46231</v>
      </c>
      <c r="G28" s="6"/>
      <c r="H28" s="6"/>
    </row>
    <row r="29" spans="3:8" x14ac:dyDescent="0.25">
      <c r="C29">
        <v>62</v>
      </c>
      <c r="D29" s="6" t="s">
        <v>495</v>
      </c>
      <c r="E29" s="6"/>
      <c r="F29">
        <v>46234</v>
      </c>
      <c r="G29" s="6"/>
      <c r="H29" s="6"/>
    </row>
    <row r="30" spans="3:8" x14ac:dyDescent="0.25">
      <c r="C30">
        <v>62</v>
      </c>
      <c r="D30" s="6" t="s">
        <v>495</v>
      </c>
      <c r="E30" s="6"/>
      <c r="F30">
        <v>46235</v>
      </c>
      <c r="G30" s="6"/>
      <c r="H30" s="6"/>
    </row>
    <row r="31" spans="3:8" x14ac:dyDescent="0.25">
      <c r="C31">
        <v>62</v>
      </c>
      <c r="D31" s="6" t="s">
        <v>495</v>
      </c>
      <c r="E31" s="6"/>
      <c r="F31">
        <v>46236</v>
      </c>
      <c r="G31" s="6"/>
      <c r="H31" s="6"/>
    </row>
    <row r="32" spans="3:8" x14ac:dyDescent="0.25">
      <c r="C32">
        <v>62</v>
      </c>
      <c r="D32" s="6" t="s">
        <v>495</v>
      </c>
      <c r="E32" s="6"/>
      <c r="F32">
        <v>46237</v>
      </c>
      <c r="G32" s="6"/>
      <c r="H32" s="6"/>
    </row>
    <row r="33" spans="3:8" x14ac:dyDescent="0.25">
      <c r="C33">
        <v>62</v>
      </c>
      <c r="D33" s="6" t="s">
        <v>495</v>
      </c>
      <c r="E33" s="6"/>
      <c r="F33">
        <v>46239</v>
      </c>
      <c r="G33" s="6"/>
      <c r="H33" s="6"/>
    </row>
    <row r="34" spans="3:8" x14ac:dyDescent="0.25">
      <c r="C34">
        <v>62</v>
      </c>
      <c r="D34" s="6" t="s">
        <v>495</v>
      </c>
      <c r="E34" s="6"/>
      <c r="F34">
        <v>46240</v>
      </c>
      <c r="G34" s="6"/>
      <c r="H34" s="6"/>
    </row>
    <row r="35" spans="3:8" x14ac:dyDescent="0.25">
      <c r="C35">
        <v>62</v>
      </c>
      <c r="D35" s="6" t="s">
        <v>495</v>
      </c>
      <c r="E35" s="6"/>
      <c r="F35">
        <v>46241</v>
      </c>
      <c r="G35" s="6"/>
      <c r="H35" s="6"/>
    </row>
    <row r="36" spans="3:8" x14ac:dyDescent="0.25">
      <c r="C36">
        <v>62</v>
      </c>
      <c r="D36" s="6" t="s">
        <v>495</v>
      </c>
      <c r="E36" s="6"/>
      <c r="F36">
        <v>46242</v>
      </c>
      <c r="G36" s="6"/>
      <c r="H36" s="6"/>
    </row>
    <row r="37" spans="3:8" x14ac:dyDescent="0.25">
      <c r="C37">
        <v>62</v>
      </c>
      <c r="D37" s="6" t="s">
        <v>495</v>
      </c>
      <c r="E37" s="6"/>
      <c r="F37">
        <v>46244</v>
      </c>
      <c r="G37" s="6"/>
      <c r="H37" s="6"/>
    </row>
    <row r="38" spans="3:8" x14ac:dyDescent="0.25">
      <c r="C38">
        <v>62</v>
      </c>
      <c r="D38" s="6" t="s">
        <v>495</v>
      </c>
      <c r="E38" s="6"/>
      <c r="F38">
        <v>46247</v>
      </c>
      <c r="G38" s="6"/>
      <c r="H38" s="6"/>
    </row>
    <row r="39" spans="3:8" x14ac:dyDescent="0.25">
      <c r="C39">
        <v>62</v>
      </c>
      <c r="D39" s="6" t="s">
        <v>495</v>
      </c>
      <c r="E39" s="6"/>
      <c r="F39">
        <v>46249</v>
      </c>
      <c r="G39" s="6"/>
      <c r="H39" s="6"/>
    </row>
    <row r="40" spans="3:8" x14ac:dyDescent="0.25">
      <c r="C40">
        <v>62</v>
      </c>
      <c r="D40" s="6" t="s">
        <v>495</v>
      </c>
      <c r="E40" s="6"/>
      <c r="F40">
        <v>46250</v>
      </c>
      <c r="G40" s="6"/>
      <c r="H40" s="6"/>
    </row>
    <row r="41" spans="3:8" x14ac:dyDescent="0.25">
      <c r="C41">
        <v>62</v>
      </c>
      <c r="D41" s="6" t="s">
        <v>495</v>
      </c>
      <c r="E41" s="6"/>
      <c r="F41">
        <v>46251</v>
      </c>
      <c r="G41" s="6"/>
      <c r="H41" s="6"/>
    </row>
    <row r="42" spans="3:8" x14ac:dyDescent="0.25">
      <c r="C42">
        <v>62</v>
      </c>
      <c r="D42" s="6" t="s">
        <v>495</v>
      </c>
      <c r="E42" s="6"/>
      <c r="F42">
        <v>46253</v>
      </c>
      <c r="G42" s="6"/>
      <c r="H42" s="6"/>
    </row>
    <row r="43" spans="3:8" x14ac:dyDescent="0.25">
      <c r="C43">
        <v>62</v>
      </c>
      <c r="D43" s="6" t="s">
        <v>495</v>
      </c>
      <c r="E43" s="6"/>
      <c r="F43">
        <v>46254</v>
      </c>
      <c r="G43" s="6"/>
      <c r="H43" s="6"/>
    </row>
    <row r="44" spans="3:8" x14ac:dyDescent="0.25">
      <c r="C44">
        <v>62</v>
      </c>
      <c r="D44" s="6" t="s">
        <v>495</v>
      </c>
      <c r="E44" s="6"/>
      <c r="F44">
        <v>46255</v>
      </c>
      <c r="G44" s="6"/>
      <c r="H44" s="6"/>
    </row>
    <row r="45" spans="3:8" x14ac:dyDescent="0.25">
      <c r="C45">
        <v>62</v>
      </c>
      <c r="D45" s="6" t="s">
        <v>495</v>
      </c>
      <c r="E45" s="6"/>
      <c r="F45">
        <v>46256</v>
      </c>
      <c r="G45" s="6"/>
      <c r="H45" s="6"/>
    </row>
    <row r="46" spans="3:8" x14ac:dyDescent="0.25">
      <c r="C46">
        <v>62</v>
      </c>
      <c r="D46" s="6" t="s">
        <v>495</v>
      </c>
      <c r="E46" s="6"/>
      <c r="F46">
        <v>46259</v>
      </c>
      <c r="G46" s="6"/>
      <c r="H46" s="6"/>
    </row>
    <row r="47" spans="3:8" x14ac:dyDescent="0.25">
      <c r="C47">
        <v>62</v>
      </c>
      <c r="D47" s="6" t="s">
        <v>495</v>
      </c>
      <c r="E47" s="6"/>
      <c r="F47">
        <v>46260</v>
      </c>
      <c r="G47" s="6"/>
      <c r="H47" s="6"/>
    </row>
    <row r="48" spans="3:8" x14ac:dyDescent="0.25">
      <c r="C48">
        <v>62</v>
      </c>
      <c r="D48" s="6" t="s">
        <v>495</v>
      </c>
      <c r="E48" s="6"/>
      <c r="F48">
        <v>46262</v>
      </c>
      <c r="G48" s="6"/>
      <c r="H48" s="6"/>
    </row>
    <row r="49" spans="3:8" x14ac:dyDescent="0.25">
      <c r="C49">
        <v>62</v>
      </c>
      <c r="D49" s="6" t="s">
        <v>495</v>
      </c>
      <c r="E49" s="6"/>
      <c r="F49">
        <v>46266</v>
      </c>
      <c r="G49" s="6"/>
      <c r="H49" s="6"/>
    </row>
    <row r="50" spans="3:8" x14ac:dyDescent="0.25">
      <c r="C50">
        <v>62</v>
      </c>
      <c r="D50" s="6" t="s">
        <v>495</v>
      </c>
      <c r="E50" s="6"/>
      <c r="F50">
        <v>46268</v>
      </c>
      <c r="G50" s="6"/>
      <c r="H50" s="6"/>
    </row>
    <row r="51" spans="3:8" x14ac:dyDescent="0.25">
      <c r="C51">
        <v>62</v>
      </c>
      <c r="D51" s="6" t="s">
        <v>495</v>
      </c>
      <c r="E51" s="6"/>
      <c r="F51">
        <v>46274</v>
      </c>
      <c r="G51" s="6"/>
      <c r="H51" s="6"/>
    </row>
    <row r="52" spans="3:8" x14ac:dyDescent="0.25">
      <c r="C52">
        <v>62</v>
      </c>
      <c r="D52" s="6" t="s">
        <v>495</v>
      </c>
      <c r="E52" s="6"/>
      <c r="F52">
        <v>46275</v>
      </c>
      <c r="G52" s="6"/>
      <c r="H52" s="6"/>
    </row>
    <row r="53" spans="3:8" x14ac:dyDescent="0.25">
      <c r="C53">
        <v>62</v>
      </c>
      <c r="D53" s="6" t="s">
        <v>495</v>
      </c>
      <c r="E53" s="6"/>
      <c r="F53">
        <v>46277</v>
      </c>
      <c r="G53" s="6"/>
      <c r="H53" s="6"/>
    </row>
    <row r="54" spans="3:8" x14ac:dyDescent="0.25">
      <c r="C54">
        <v>62</v>
      </c>
      <c r="D54" s="6" t="s">
        <v>495</v>
      </c>
      <c r="E54" s="6"/>
      <c r="F54">
        <v>46278</v>
      </c>
      <c r="G54" s="6"/>
      <c r="H54" s="6"/>
    </row>
    <row r="55" spans="3:8" x14ac:dyDescent="0.25">
      <c r="C55">
        <v>62</v>
      </c>
      <c r="D55" s="6" t="s">
        <v>495</v>
      </c>
      <c r="E55" s="6"/>
      <c r="F55">
        <v>46280</v>
      </c>
      <c r="G55" s="6"/>
      <c r="H55" s="6"/>
    </row>
    <row r="56" spans="3:8" x14ac:dyDescent="0.25">
      <c r="C56">
        <v>62</v>
      </c>
      <c r="D56" s="6" t="s">
        <v>495</v>
      </c>
      <c r="E56" s="6"/>
      <c r="F56">
        <v>46282</v>
      </c>
      <c r="G56" s="6"/>
      <c r="H56" s="6"/>
    </row>
    <row r="57" spans="3:8" x14ac:dyDescent="0.25">
      <c r="C57">
        <v>62</v>
      </c>
      <c r="D57" s="6" t="s">
        <v>495</v>
      </c>
      <c r="E57" s="6"/>
      <c r="F57">
        <v>46283</v>
      </c>
      <c r="G57" s="6"/>
      <c r="H57" s="6"/>
    </row>
    <row r="58" spans="3:8" x14ac:dyDescent="0.25">
      <c r="C58">
        <v>62</v>
      </c>
      <c r="D58" s="6" t="s">
        <v>495</v>
      </c>
      <c r="E58" s="6"/>
      <c r="F58">
        <v>46285</v>
      </c>
      <c r="G58" s="6"/>
      <c r="H58" s="6"/>
    </row>
    <row r="59" spans="3:8" x14ac:dyDescent="0.25">
      <c r="C59">
        <v>62</v>
      </c>
      <c r="D59" s="6" t="s">
        <v>495</v>
      </c>
      <c r="E59" s="6"/>
      <c r="F59">
        <v>46290</v>
      </c>
      <c r="G59" s="6"/>
      <c r="H59" s="6"/>
    </row>
    <row r="60" spans="3:8" x14ac:dyDescent="0.25">
      <c r="C60">
        <v>62</v>
      </c>
      <c r="D60" s="6" t="s">
        <v>495</v>
      </c>
      <c r="E60" s="6"/>
      <c r="F60">
        <v>46291</v>
      </c>
      <c r="G60" s="6"/>
      <c r="H60" s="6"/>
    </row>
    <row r="61" spans="3:8" x14ac:dyDescent="0.25">
      <c r="C61">
        <v>62</v>
      </c>
      <c r="D61" s="6" t="s">
        <v>495</v>
      </c>
      <c r="E61" s="6"/>
      <c r="F61">
        <v>46295</v>
      </c>
      <c r="G61" s="6"/>
      <c r="H61" s="6"/>
    </row>
    <row r="62" spans="3:8" x14ac:dyDescent="0.25">
      <c r="C62">
        <v>62</v>
      </c>
      <c r="D62" s="6" t="s">
        <v>495</v>
      </c>
      <c r="E62" s="6"/>
      <c r="F62">
        <v>46296</v>
      </c>
      <c r="G62" s="6"/>
      <c r="H62" s="6"/>
    </row>
    <row r="63" spans="3:8" x14ac:dyDescent="0.25">
      <c r="C63">
        <v>62</v>
      </c>
      <c r="D63" s="6" t="s">
        <v>495</v>
      </c>
      <c r="E63" s="6"/>
      <c r="F63">
        <v>46298</v>
      </c>
      <c r="G63" s="6"/>
      <c r="H63" s="6"/>
    </row>
  </sheetData>
  <phoneticPr fontId="5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06975-4138-453A-A1B6-18B0731627B4}">
  <sheetPr codeName="SH_COUNTRIES"/>
  <dimension ref="A1:F243"/>
  <sheetViews>
    <sheetView showGridLines="0" topLeftCell="A224" workbookViewId="0">
      <selection activeCell="A246" sqref="A246"/>
    </sheetView>
  </sheetViews>
  <sheetFormatPr defaultColWidth="8.85546875" defaultRowHeight="15" x14ac:dyDescent="0.25"/>
  <cols>
    <col min="1" max="1" width="17.5703125" style="5" bestFit="1" customWidth="1"/>
    <col min="2" max="2" width="24.140625" style="5" bestFit="1" customWidth="1"/>
    <col min="3" max="3" width="38.42578125" style="5" customWidth="1"/>
    <col min="4" max="4" width="36.5703125" style="5" bestFit="1" customWidth="1"/>
    <col min="5" max="16384" width="8.85546875" style="5"/>
  </cols>
  <sheetData>
    <row r="1" spans="1:4" x14ac:dyDescent="0.25">
      <c r="A1" s="4" t="s">
        <v>49</v>
      </c>
      <c r="B1" s="4" t="s">
        <v>50</v>
      </c>
      <c r="C1" s="4" t="str">
        <f>A1&amp;" - "&amp;B1&amp;" - " &amp; A1</f>
        <v>countryCode - countryName - countryCode</v>
      </c>
      <c r="D1" s="4" t="str">
        <f>B1&amp;" - "&amp;A1</f>
        <v>countryName - countryCode</v>
      </c>
    </row>
    <row r="2" spans="1:4" x14ac:dyDescent="0.25">
      <c r="A2" s="5" t="s">
        <v>51</v>
      </c>
      <c r="B2" s="5" t="s">
        <v>52</v>
      </c>
      <c r="C2" s="5" t="str">
        <f>A2</f>
        <v>AD</v>
      </c>
      <c r="D2" s="5" t="str">
        <f>B2&amp;" - "&amp;A2</f>
        <v>Andorra - AD</v>
      </c>
    </row>
    <row r="3" spans="1:4" x14ac:dyDescent="0.25">
      <c r="A3" s="5" t="s">
        <v>1</v>
      </c>
      <c r="B3" s="5" t="s">
        <v>53</v>
      </c>
      <c r="C3" s="5" t="str">
        <f t="shared" ref="C3:C66" si="0">A3</f>
        <v>AE</v>
      </c>
      <c r="D3" s="5" t="str">
        <f t="shared" ref="D3:D66" si="1">B3&amp;" - "&amp;A3</f>
        <v>United Arab Emirates - AE</v>
      </c>
    </row>
    <row r="4" spans="1:4" x14ac:dyDescent="0.25">
      <c r="A4" s="5" t="s">
        <v>54</v>
      </c>
      <c r="B4" s="5" t="s">
        <v>55</v>
      </c>
      <c r="C4" s="5" t="str">
        <f t="shared" si="0"/>
        <v>AF</v>
      </c>
      <c r="D4" s="5" t="str">
        <f t="shared" si="1"/>
        <v>Afghanistan - AF</v>
      </c>
    </row>
    <row r="5" spans="1:4" x14ac:dyDescent="0.25">
      <c r="A5" s="5" t="s">
        <v>56</v>
      </c>
      <c r="B5" s="5" t="s">
        <v>57</v>
      </c>
      <c r="C5" s="5" t="str">
        <f t="shared" si="0"/>
        <v>AG</v>
      </c>
      <c r="D5" s="5" t="str">
        <f t="shared" si="1"/>
        <v>Antigua - AG</v>
      </c>
    </row>
    <row r="6" spans="1:4" x14ac:dyDescent="0.25">
      <c r="A6" s="5" t="s">
        <v>58</v>
      </c>
      <c r="B6" s="5" t="s">
        <v>59</v>
      </c>
      <c r="C6" s="5" t="str">
        <f t="shared" si="0"/>
        <v>AI</v>
      </c>
      <c r="D6" s="5" t="str">
        <f t="shared" si="1"/>
        <v>Anguilla - AI</v>
      </c>
    </row>
    <row r="7" spans="1:4" x14ac:dyDescent="0.25">
      <c r="A7" s="5" t="s">
        <v>2</v>
      </c>
      <c r="B7" s="5" t="s">
        <v>60</v>
      </c>
      <c r="C7" s="5" t="str">
        <f t="shared" si="0"/>
        <v>AL</v>
      </c>
      <c r="D7" s="5" t="str">
        <f t="shared" si="1"/>
        <v>Albania - AL</v>
      </c>
    </row>
    <row r="8" spans="1:4" x14ac:dyDescent="0.25">
      <c r="A8" s="5" t="s">
        <v>61</v>
      </c>
      <c r="B8" s="5" t="s">
        <v>62</v>
      </c>
      <c r="C8" s="5" t="str">
        <f t="shared" si="0"/>
        <v>AM</v>
      </c>
      <c r="D8" s="5" t="str">
        <f t="shared" si="1"/>
        <v>Armenia - AM</v>
      </c>
    </row>
    <row r="9" spans="1:4" x14ac:dyDescent="0.25">
      <c r="A9" s="5" t="s">
        <v>63</v>
      </c>
      <c r="B9" s="5" t="s">
        <v>64</v>
      </c>
      <c r="C9" s="5" t="str">
        <f t="shared" si="0"/>
        <v>AO</v>
      </c>
      <c r="D9" s="5" t="str">
        <f t="shared" si="1"/>
        <v>Angola - AO</v>
      </c>
    </row>
    <row r="10" spans="1:4" x14ac:dyDescent="0.25">
      <c r="A10" s="5" t="s">
        <v>65</v>
      </c>
      <c r="B10" s="5" t="s">
        <v>66</v>
      </c>
      <c r="C10" s="5" t="str">
        <f t="shared" si="0"/>
        <v>AR</v>
      </c>
      <c r="D10" s="5" t="str">
        <f t="shared" si="1"/>
        <v>Argentina - AR</v>
      </c>
    </row>
    <row r="11" spans="1:4" x14ac:dyDescent="0.25">
      <c r="A11" s="5" t="s">
        <v>67</v>
      </c>
      <c r="B11" s="5" t="s">
        <v>68</v>
      </c>
      <c r="C11" s="5" t="str">
        <f t="shared" si="0"/>
        <v>AS</v>
      </c>
      <c r="D11" s="5" t="str">
        <f t="shared" si="1"/>
        <v>American Samoa - AS</v>
      </c>
    </row>
    <row r="12" spans="1:4" x14ac:dyDescent="0.25">
      <c r="A12" s="5" t="s">
        <v>69</v>
      </c>
      <c r="B12" s="5" t="s">
        <v>70</v>
      </c>
      <c r="C12" s="5" t="str">
        <f t="shared" si="0"/>
        <v>AT</v>
      </c>
      <c r="D12" s="5" t="str">
        <f t="shared" si="1"/>
        <v>Austria - AT</v>
      </c>
    </row>
    <row r="13" spans="1:4" x14ac:dyDescent="0.25">
      <c r="A13" s="5" t="s">
        <v>71</v>
      </c>
      <c r="B13" s="5" t="s">
        <v>72</v>
      </c>
      <c r="C13" s="5" t="str">
        <f t="shared" si="0"/>
        <v>AU</v>
      </c>
      <c r="D13" s="5" t="str">
        <f t="shared" si="1"/>
        <v>Australia - AU</v>
      </c>
    </row>
    <row r="14" spans="1:4" x14ac:dyDescent="0.25">
      <c r="A14" s="5" t="s">
        <v>73</v>
      </c>
      <c r="B14" s="5" t="s">
        <v>74</v>
      </c>
      <c r="C14" s="5" t="str">
        <f t="shared" si="0"/>
        <v>AW</v>
      </c>
      <c r="D14" s="5" t="str">
        <f t="shared" si="1"/>
        <v>Aruba - AW</v>
      </c>
    </row>
    <row r="15" spans="1:4" x14ac:dyDescent="0.25">
      <c r="A15" s="5" t="s">
        <v>3</v>
      </c>
      <c r="B15" s="5" t="s">
        <v>75</v>
      </c>
      <c r="C15" s="5" t="str">
        <f t="shared" si="0"/>
        <v>AZ</v>
      </c>
      <c r="D15" s="5" t="str">
        <f t="shared" si="1"/>
        <v>Azerbaijan - AZ</v>
      </c>
    </row>
    <row r="16" spans="1:4" x14ac:dyDescent="0.25">
      <c r="A16" s="5" t="s">
        <v>4</v>
      </c>
      <c r="B16" s="5" t="s">
        <v>76</v>
      </c>
      <c r="C16" s="5" t="str">
        <f t="shared" si="0"/>
        <v>BA</v>
      </c>
      <c r="D16" s="5" t="str">
        <f t="shared" si="1"/>
        <v>Bosnia and Herzegovina - BA</v>
      </c>
    </row>
    <row r="17" spans="1:4" x14ac:dyDescent="0.25">
      <c r="A17" s="5" t="s">
        <v>77</v>
      </c>
      <c r="B17" s="5" t="s">
        <v>78</v>
      </c>
      <c r="C17" s="5" t="str">
        <f t="shared" si="0"/>
        <v>BB</v>
      </c>
      <c r="D17" s="5" t="str">
        <f t="shared" si="1"/>
        <v>Barbados - BB</v>
      </c>
    </row>
    <row r="18" spans="1:4" x14ac:dyDescent="0.25">
      <c r="A18" s="5" t="s">
        <v>79</v>
      </c>
      <c r="B18" s="5" t="s">
        <v>80</v>
      </c>
      <c r="C18" s="5" t="str">
        <f t="shared" si="0"/>
        <v>BD</v>
      </c>
      <c r="D18" s="5" t="str">
        <f t="shared" si="1"/>
        <v>Bangladesh - BD</v>
      </c>
    </row>
    <row r="19" spans="1:4" x14ac:dyDescent="0.25">
      <c r="A19" s="5" t="s">
        <v>5</v>
      </c>
      <c r="B19" s="5" t="s">
        <v>81</v>
      </c>
      <c r="C19" s="5" t="str">
        <f t="shared" si="0"/>
        <v>BE</v>
      </c>
      <c r="D19" s="5" t="str">
        <f t="shared" si="1"/>
        <v>Belgium - BE</v>
      </c>
    </row>
    <row r="20" spans="1:4" x14ac:dyDescent="0.25">
      <c r="A20" s="5" t="s">
        <v>82</v>
      </c>
      <c r="B20" s="5" t="s">
        <v>83</v>
      </c>
      <c r="C20" s="5" t="str">
        <f t="shared" si="0"/>
        <v>BF</v>
      </c>
      <c r="D20" s="5" t="str">
        <f t="shared" si="1"/>
        <v>Burkina Faso - BF</v>
      </c>
    </row>
    <row r="21" spans="1:4" x14ac:dyDescent="0.25">
      <c r="A21" s="5" t="s">
        <v>6</v>
      </c>
      <c r="B21" s="5" t="s">
        <v>84</v>
      </c>
      <c r="C21" s="5" t="str">
        <f t="shared" si="0"/>
        <v>BG</v>
      </c>
      <c r="D21" s="5" t="str">
        <f t="shared" si="1"/>
        <v>Bulgaria - BG</v>
      </c>
    </row>
    <row r="22" spans="1:4" x14ac:dyDescent="0.25">
      <c r="A22" s="5" t="s">
        <v>7</v>
      </c>
      <c r="B22" s="5" t="s">
        <v>85</v>
      </c>
      <c r="C22" s="5" t="str">
        <f t="shared" si="0"/>
        <v>BH</v>
      </c>
      <c r="D22" s="5" t="str">
        <f t="shared" si="1"/>
        <v>Bahrain - BH</v>
      </c>
    </row>
    <row r="23" spans="1:4" x14ac:dyDescent="0.25">
      <c r="A23" s="5" t="s">
        <v>86</v>
      </c>
      <c r="B23" s="5" t="s">
        <v>87</v>
      </c>
      <c r="C23" s="5" t="str">
        <f t="shared" si="0"/>
        <v>BI</v>
      </c>
      <c r="D23" s="5" t="str">
        <f t="shared" si="1"/>
        <v>Burundi - BI</v>
      </c>
    </row>
    <row r="24" spans="1:4" x14ac:dyDescent="0.25">
      <c r="A24" s="5" t="s">
        <v>88</v>
      </c>
      <c r="B24" s="5" t="s">
        <v>89</v>
      </c>
      <c r="C24" s="5" t="str">
        <f t="shared" si="0"/>
        <v>BJ</v>
      </c>
      <c r="D24" s="5" t="str">
        <f t="shared" si="1"/>
        <v>Benin - BJ</v>
      </c>
    </row>
    <row r="25" spans="1:4" x14ac:dyDescent="0.25">
      <c r="A25" s="5" t="s">
        <v>90</v>
      </c>
      <c r="B25" s="5" t="s">
        <v>91</v>
      </c>
      <c r="C25" s="5" t="str">
        <f t="shared" si="0"/>
        <v>BM</v>
      </c>
      <c r="D25" s="5" t="str">
        <f t="shared" si="1"/>
        <v>Bermuda - BM</v>
      </c>
    </row>
    <row r="26" spans="1:4" x14ac:dyDescent="0.25">
      <c r="A26" s="5" t="s">
        <v>92</v>
      </c>
      <c r="B26" s="5" t="s">
        <v>93</v>
      </c>
      <c r="C26" s="5" t="str">
        <f t="shared" si="0"/>
        <v>BN</v>
      </c>
      <c r="D26" s="5" t="str">
        <f t="shared" si="1"/>
        <v>Brunei - BN</v>
      </c>
    </row>
    <row r="27" spans="1:4" x14ac:dyDescent="0.25">
      <c r="A27" s="5" t="s">
        <v>94</v>
      </c>
      <c r="B27" s="5" t="s">
        <v>95</v>
      </c>
      <c r="C27" s="5" t="str">
        <f t="shared" si="0"/>
        <v>BO</v>
      </c>
      <c r="D27" s="5" t="str">
        <f t="shared" si="1"/>
        <v>Bolivia - BO</v>
      </c>
    </row>
    <row r="28" spans="1:4" x14ac:dyDescent="0.25">
      <c r="A28" s="5" t="s">
        <v>96</v>
      </c>
      <c r="B28" s="5" t="s">
        <v>97</v>
      </c>
      <c r="C28" s="5" t="str">
        <f t="shared" si="0"/>
        <v>BR</v>
      </c>
      <c r="D28" s="5" t="str">
        <f t="shared" si="1"/>
        <v>Brazil - BR</v>
      </c>
    </row>
    <row r="29" spans="1:4" x14ac:dyDescent="0.25">
      <c r="A29" s="5" t="s">
        <v>98</v>
      </c>
      <c r="B29" s="5" t="s">
        <v>99</v>
      </c>
      <c r="C29" s="5" t="str">
        <f t="shared" si="0"/>
        <v>BS</v>
      </c>
      <c r="D29" s="5" t="str">
        <f t="shared" si="1"/>
        <v>Bahamas - BS</v>
      </c>
    </row>
    <row r="30" spans="1:4" x14ac:dyDescent="0.25">
      <c r="A30" s="5" t="s">
        <v>100</v>
      </c>
      <c r="B30" s="5" t="s">
        <v>101</v>
      </c>
      <c r="C30" s="5" t="str">
        <f t="shared" si="0"/>
        <v>BT</v>
      </c>
      <c r="D30" s="5" t="str">
        <f t="shared" si="1"/>
        <v>Bhutan - BT</v>
      </c>
    </row>
    <row r="31" spans="1:4" x14ac:dyDescent="0.25">
      <c r="A31" s="5" t="s">
        <v>102</v>
      </c>
      <c r="B31" s="5" t="s">
        <v>103</v>
      </c>
      <c r="C31" s="5" t="str">
        <f t="shared" si="0"/>
        <v>BW</v>
      </c>
      <c r="D31" s="5" t="str">
        <f t="shared" si="1"/>
        <v>Botswana - BW</v>
      </c>
    </row>
    <row r="32" spans="1:4" x14ac:dyDescent="0.25">
      <c r="A32" s="5" t="s">
        <v>104</v>
      </c>
      <c r="B32" s="5" t="s">
        <v>105</v>
      </c>
      <c r="C32" s="5" t="str">
        <f t="shared" si="0"/>
        <v>BY</v>
      </c>
      <c r="D32" s="5" t="str">
        <f t="shared" si="1"/>
        <v>Belarus - BY</v>
      </c>
    </row>
    <row r="33" spans="1:4" x14ac:dyDescent="0.25">
      <c r="A33" s="5" t="s">
        <v>106</v>
      </c>
      <c r="B33" s="5" t="s">
        <v>107</v>
      </c>
      <c r="C33" s="5" t="str">
        <f t="shared" si="0"/>
        <v>BZ</v>
      </c>
      <c r="D33" s="5" t="str">
        <f t="shared" si="1"/>
        <v>Belize - BZ</v>
      </c>
    </row>
    <row r="34" spans="1:4" x14ac:dyDescent="0.25">
      <c r="A34" s="5" t="s">
        <v>8</v>
      </c>
      <c r="B34" s="5" t="s">
        <v>108</v>
      </c>
      <c r="C34" s="5" t="str">
        <f t="shared" si="0"/>
        <v>CA</v>
      </c>
      <c r="D34" s="5" t="str">
        <f t="shared" si="1"/>
        <v>Canada - CA</v>
      </c>
    </row>
    <row r="35" spans="1:4" x14ac:dyDescent="0.25">
      <c r="A35" s="5" t="s">
        <v>109</v>
      </c>
      <c r="B35" s="5" t="s">
        <v>110</v>
      </c>
      <c r="C35" s="5" t="str">
        <f t="shared" si="0"/>
        <v>CD</v>
      </c>
      <c r="D35" s="5" t="str">
        <f t="shared" si="1"/>
        <v>DR Congo - CD</v>
      </c>
    </row>
    <row r="36" spans="1:4" x14ac:dyDescent="0.25">
      <c r="A36" s="5" t="s">
        <v>111</v>
      </c>
      <c r="B36" s="5" t="s">
        <v>112</v>
      </c>
      <c r="C36" s="5" t="str">
        <f t="shared" si="0"/>
        <v>CF</v>
      </c>
      <c r="D36" s="5" t="str">
        <f t="shared" si="1"/>
        <v>Central African Republic - CF</v>
      </c>
    </row>
    <row r="37" spans="1:4" x14ac:dyDescent="0.25">
      <c r="A37" s="5" t="s">
        <v>113</v>
      </c>
      <c r="B37" s="5" t="s">
        <v>114</v>
      </c>
      <c r="C37" s="5" t="str">
        <f t="shared" si="0"/>
        <v>CG</v>
      </c>
      <c r="D37" s="5" t="str">
        <f t="shared" si="1"/>
        <v>Congo - CG</v>
      </c>
    </row>
    <row r="38" spans="1:4" x14ac:dyDescent="0.25">
      <c r="A38" s="5" t="s">
        <v>9</v>
      </c>
      <c r="B38" s="5" t="s">
        <v>115</v>
      </c>
      <c r="C38" s="5" t="str">
        <f t="shared" si="0"/>
        <v>CH</v>
      </c>
      <c r="D38" s="5" t="str">
        <f t="shared" si="1"/>
        <v>Switzerland - CH</v>
      </c>
    </row>
    <row r="39" spans="1:4" x14ac:dyDescent="0.25">
      <c r="A39" s="5" t="s">
        <v>10</v>
      </c>
      <c r="B39" s="5" t="s">
        <v>116</v>
      </c>
      <c r="C39" s="5" t="str">
        <f t="shared" si="0"/>
        <v>CI</v>
      </c>
      <c r="D39" s="5" t="str">
        <f t="shared" si="1"/>
        <v>Cote D'Ivoire - CI</v>
      </c>
    </row>
    <row r="40" spans="1:4" x14ac:dyDescent="0.25">
      <c r="A40" s="5" t="s">
        <v>117</v>
      </c>
      <c r="B40" s="5" t="s">
        <v>118</v>
      </c>
      <c r="C40" s="5" t="str">
        <f t="shared" si="0"/>
        <v>CK</v>
      </c>
      <c r="D40" s="5" t="str">
        <f t="shared" si="1"/>
        <v>Cook Islands - CK</v>
      </c>
    </row>
    <row r="41" spans="1:4" x14ac:dyDescent="0.25">
      <c r="A41" s="5" t="s">
        <v>119</v>
      </c>
      <c r="B41" s="5" t="s">
        <v>120</v>
      </c>
      <c r="C41" s="5" t="str">
        <f t="shared" si="0"/>
        <v>CL</v>
      </c>
      <c r="D41" s="5" t="str">
        <f t="shared" si="1"/>
        <v>Chile - CL</v>
      </c>
    </row>
    <row r="42" spans="1:4" x14ac:dyDescent="0.25">
      <c r="A42" s="5" t="s">
        <v>121</v>
      </c>
      <c r="B42" s="5" t="s">
        <v>122</v>
      </c>
      <c r="C42" s="5" t="str">
        <f t="shared" si="0"/>
        <v>CM</v>
      </c>
      <c r="D42" s="5" t="str">
        <f t="shared" si="1"/>
        <v>Cameroon - CM</v>
      </c>
    </row>
    <row r="43" spans="1:4" x14ac:dyDescent="0.25">
      <c r="A43" s="5" t="s">
        <v>11</v>
      </c>
      <c r="B43" s="5" t="s">
        <v>123</v>
      </c>
      <c r="C43" s="5" t="str">
        <f t="shared" si="0"/>
        <v>CN</v>
      </c>
      <c r="D43" s="5" t="str">
        <f t="shared" si="1"/>
        <v>China - CN</v>
      </c>
    </row>
    <row r="44" spans="1:4" x14ac:dyDescent="0.25">
      <c r="A44" s="5" t="s">
        <v>12</v>
      </c>
      <c r="B44" s="5" t="s">
        <v>124</v>
      </c>
      <c r="C44" s="5" t="str">
        <f t="shared" si="0"/>
        <v>CO</v>
      </c>
      <c r="D44" s="5" t="str">
        <f t="shared" si="1"/>
        <v>Colombia - CO</v>
      </c>
    </row>
    <row r="45" spans="1:4" x14ac:dyDescent="0.25">
      <c r="A45" s="5" t="s">
        <v>125</v>
      </c>
      <c r="B45" s="5" t="s">
        <v>126</v>
      </c>
      <c r="C45" s="5" t="str">
        <f t="shared" si="0"/>
        <v>CR</v>
      </c>
      <c r="D45" s="5" t="str">
        <f t="shared" si="1"/>
        <v>Costa Rica - CR</v>
      </c>
    </row>
    <row r="46" spans="1:4" x14ac:dyDescent="0.25">
      <c r="A46" s="5" t="s">
        <v>127</v>
      </c>
      <c r="B46" s="5" t="s">
        <v>128</v>
      </c>
      <c r="C46" s="5" t="str">
        <f t="shared" si="0"/>
        <v>CU</v>
      </c>
      <c r="D46" s="5" t="str">
        <f t="shared" si="1"/>
        <v>Cuba - CU</v>
      </c>
    </row>
    <row r="47" spans="1:4" x14ac:dyDescent="0.25">
      <c r="A47" s="5" t="s">
        <v>129</v>
      </c>
      <c r="B47" s="5" t="s">
        <v>130</v>
      </c>
      <c r="C47" s="5" t="str">
        <f t="shared" si="0"/>
        <v>CV</v>
      </c>
      <c r="D47" s="5" t="str">
        <f t="shared" si="1"/>
        <v>Cape Verde - CV</v>
      </c>
    </row>
    <row r="48" spans="1:4" x14ac:dyDescent="0.25">
      <c r="A48" s="5" t="s">
        <v>131</v>
      </c>
      <c r="B48" s="5" t="s">
        <v>132</v>
      </c>
      <c r="C48" s="5" t="str">
        <f t="shared" si="0"/>
        <v>CY</v>
      </c>
      <c r="D48" s="5" t="str">
        <f t="shared" si="1"/>
        <v>Cyprus - CY</v>
      </c>
    </row>
    <row r="49" spans="1:4" x14ac:dyDescent="0.25">
      <c r="A49" s="5" t="s">
        <v>133</v>
      </c>
      <c r="B49" s="5" t="s">
        <v>134</v>
      </c>
      <c r="C49" s="5" t="str">
        <f t="shared" si="0"/>
        <v>CZ</v>
      </c>
      <c r="D49" s="5" t="str">
        <f t="shared" si="1"/>
        <v>Czech Republic - CZ</v>
      </c>
    </row>
    <row r="50" spans="1:4" x14ac:dyDescent="0.25">
      <c r="A50" s="5" t="s">
        <v>13</v>
      </c>
      <c r="B50" s="5" t="s">
        <v>135</v>
      </c>
      <c r="C50" s="5" t="str">
        <f t="shared" si="0"/>
        <v>DE</v>
      </c>
      <c r="D50" s="5" t="str">
        <f t="shared" si="1"/>
        <v>Germany - DE</v>
      </c>
    </row>
    <row r="51" spans="1:4" x14ac:dyDescent="0.25">
      <c r="A51" s="5" t="s">
        <v>136</v>
      </c>
      <c r="B51" s="5" t="s">
        <v>137</v>
      </c>
      <c r="C51" s="5" t="str">
        <f t="shared" si="0"/>
        <v>DJ</v>
      </c>
      <c r="D51" s="5" t="str">
        <f t="shared" si="1"/>
        <v>Djibouti - DJ</v>
      </c>
    </row>
    <row r="52" spans="1:4" x14ac:dyDescent="0.25">
      <c r="A52" s="5" t="s">
        <v>138</v>
      </c>
      <c r="B52" s="5" t="s">
        <v>139</v>
      </c>
      <c r="C52" s="5" t="str">
        <f t="shared" si="0"/>
        <v>DK</v>
      </c>
      <c r="D52" s="5" t="str">
        <f t="shared" si="1"/>
        <v>Denmark - DK</v>
      </c>
    </row>
    <row r="53" spans="1:4" x14ac:dyDescent="0.25">
      <c r="A53" s="5" t="s">
        <v>140</v>
      </c>
      <c r="B53" s="5" t="s">
        <v>141</v>
      </c>
      <c r="C53" s="5" t="str">
        <f t="shared" si="0"/>
        <v>DM</v>
      </c>
      <c r="D53" s="5" t="str">
        <f t="shared" si="1"/>
        <v>Dominica - DM</v>
      </c>
    </row>
    <row r="54" spans="1:4" x14ac:dyDescent="0.25">
      <c r="A54" s="5" t="s">
        <v>142</v>
      </c>
      <c r="B54" s="5" t="s">
        <v>143</v>
      </c>
      <c r="C54" s="5" t="str">
        <f t="shared" si="0"/>
        <v>DO</v>
      </c>
      <c r="D54" s="5" t="str">
        <f t="shared" si="1"/>
        <v>Dominican Republic - DO</v>
      </c>
    </row>
    <row r="55" spans="1:4" x14ac:dyDescent="0.25">
      <c r="A55" s="5" t="s">
        <v>14</v>
      </c>
      <c r="B55" s="5" t="s">
        <v>144</v>
      </c>
      <c r="C55" s="5" t="str">
        <f t="shared" si="0"/>
        <v>DZ</v>
      </c>
      <c r="D55" s="5" t="str">
        <f t="shared" si="1"/>
        <v>Algeria - DZ</v>
      </c>
    </row>
    <row r="56" spans="1:4" x14ac:dyDescent="0.25">
      <c r="A56" s="5" t="s">
        <v>145</v>
      </c>
      <c r="B56" s="5" t="s">
        <v>146</v>
      </c>
      <c r="C56" s="5" t="str">
        <f t="shared" si="0"/>
        <v>EC</v>
      </c>
      <c r="D56" s="5" t="str">
        <f t="shared" si="1"/>
        <v>Ecuador - EC</v>
      </c>
    </row>
    <row r="57" spans="1:4" x14ac:dyDescent="0.25">
      <c r="A57" s="5" t="s">
        <v>147</v>
      </c>
      <c r="B57" s="5" t="s">
        <v>148</v>
      </c>
      <c r="C57" s="5" t="str">
        <f t="shared" si="0"/>
        <v>EE</v>
      </c>
      <c r="D57" s="5" t="str">
        <f t="shared" si="1"/>
        <v>Estonia - EE</v>
      </c>
    </row>
    <row r="58" spans="1:4" x14ac:dyDescent="0.25">
      <c r="A58" s="5" t="s">
        <v>15</v>
      </c>
      <c r="B58" s="5" t="s">
        <v>149</v>
      </c>
      <c r="C58" s="5" t="str">
        <f t="shared" si="0"/>
        <v>EG</v>
      </c>
      <c r="D58" s="5" t="str">
        <f t="shared" si="1"/>
        <v>Egypt - EG</v>
      </c>
    </row>
    <row r="59" spans="1:4" x14ac:dyDescent="0.25">
      <c r="A59" s="5" t="s">
        <v>150</v>
      </c>
      <c r="B59" s="5" t="s">
        <v>151</v>
      </c>
      <c r="C59" s="5" t="str">
        <f t="shared" si="0"/>
        <v>ER</v>
      </c>
      <c r="D59" s="5" t="str">
        <f t="shared" si="1"/>
        <v>Eritrea - ER</v>
      </c>
    </row>
    <row r="60" spans="1:4" x14ac:dyDescent="0.25">
      <c r="A60" s="5" t="s">
        <v>16</v>
      </c>
      <c r="B60" s="5" t="s">
        <v>152</v>
      </c>
      <c r="C60" s="5" t="str">
        <f t="shared" si="0"/>
        <v>ES</v>
      </c>
      <c r="D60" s="5" t="str">
        <f t="shared" si="1"/>
        <v>Spain - ES</v>
      </c>
    </row>
    <row r="61" spans="1:4" x14ac:dyDescent="0.25">
      <c r="A61" s="5" t="s">
        <v>153</v>
      </c>
      <c r="B61" s="5" t="s">
        <v>154</v>
      </c>
      <c r="C61" s="5" t="str">
        <f t="shared" si="0"/>
        <v>ET</v>
      </c>
      <c r="D61" s="5" t="str">
        <f t="shared" si="1"/>
        <v>Ethiopia - ET</v>
      </c>
    </row>
    <row r="62" spans="1:4" x14ac:dyDescent="0.25">
      <c r="A62" s="5" t="s">
        <v>155</v>
      </c>
      <c r="B62" s="5" t="s">
        <v>156</v>
      </c>
      <c r="C62" s="5" t="str">
        <f t="shared" si="0"/>
        <v>FI</v>
      </c>
      <c r="D62" s="5" t="str">
        <f t="shared" si="1"/>
        <v>Finland - FI</v>
      </c>
    </row>
    <row r="63" spans="1:4" x14ac:dyDescent="0.25">
      <c r="A63" s="5" t="s">
        <v>157</v>
      </c>
      <c r="B63" s="5" t="s">
        <v>158</v>
      </c>
      <c r="C63" s="5" t="str">
        <f t="shared" si="0"/>
        <v>FJ</v>
      </c>
      <c r="D63" s="5" t="str">
        <f t="shared" si="1"/>
        <v>Fiji - FJ</v>
      </c>
    </row>
    <row r="64" spans="1:4" x14ac:dyDescent="0.25">
      <c r="A64" s="5" t="s">
        <v>159</v>
      </c>
      <c r="B64" s="5" t="s">
        <v>160</v>
      </c>
      <c r="C64" s="5" t="str">
        <f t="shared" si="0"/>
        <v>FK</v>
      </c>
      <c r="D64" s="5" t="str">
        <f t="shared" si="1"/>
        <v>Falkland Islands - FK</v>
      </c>
    </row>
    <row r="65" spans="1:4" x14ac:dyDescent="0.25">
      <c r="A65" s="5" t="s">
        <v>161</v>
      </c>
      <c r="B65" s="5" t="s">
        <v>162</v>
      </c>
      <c r="C65" s="5" t="str">
        <f t="shared" si="0"/>
        <v>FM</v>
      </c>
      <c r="D65" s="5" t="str">
        <f t="shared" si="1"/>
        <v>Micronesia - FM</v>
      </c>
    </row>
    <row r="66" spans="1:4" x14ac:dyDescent="0.25">
      <c r="A66" s="5" t="s">
        <v>163</v>
      </c>
      <c r="B66" s="5" t="s">
        <v>164</v>
      </c>
      <c r="C66" s="5" t="str">
        <f t="shared" si="0"/>
        <v>FO</v>
      </c>
      <c r="D66" s="5" t="str">
        <f t="shared" si="1"/>
        <v>Faroe Islands - FO</v>
      </c>
    </row>
    <row r="67" spans="1:4" x14ac:dyDescent="0.25">
      <c r="A67" s="5" t="s">
        <v>17</v>
      </c>
      <c r="B67" s="5" t="s">
        <v>165</v>
      </c>
      <c r="C67" s="5" t="str">
        <f t="shared" ref="C67:C130" si="2">A67</f>
        <v>FR</v>
      </c>
      <c r="D67" s="5" t="str">
        <f t="shared" ref="D67:D130" si="3">B67&amp;" - "&amp;A67</f>
        <v>France - FR</v>
      </c>
    </row>
    <row r="68" spans="1:4" x14ac:dyDescent="0.25">
      <c r="A68" s="5" t="s">
        <v>166</v>
      </c>
      <c r="B68" s="5" t="s">
        <v>167</v>
      </c>
      <c r="C68" s="5" t="str">
        <f t="shared" si="2"/>
        <v>GA</v>
      </c>
      <c r="D68" s="5" t="str">
        <f t="shared" si="3"/>
        <v>Gabon - GA</v>
      </c>
    </row>
    <row r="69" spans="1:4" x14ac:dyDescent="0.25">
      <c r="A69" s="5" t="s">
        <v>18</v>
      </c>
      <c r="B69" s="5" t="s">
        <v>168</v>
      </c>
      <c r="C69" s="5" t="str">
        <f t="shared" si="2"/>
        <v>GB</v>
      </c>
      <c r="D69" s="5" t="str">
        <f t="shared" si="3"/>
        <v>United Kingdom - GB</v>
      </c>
    </row>
    <row r="70" spans="1:4" x14ac:dyDescent="0.25">
      <c r="A70" s="5" t="s">
        <v>169</v>
      </c>
      <c r="B70" s="5" t="s">
        <v>170</v>
      </c>
      <c r="C70" s="5" t="str">
        <f t="shared" si="2"/>
        <v>GD</v>
      </c>
      <c r="D70" s="5" t="str">
        <f t="shared" si="3"/>
        <v>Grenada - GD</v>
      </c>
    </row>
    <row r="71" spans="1:4" x14ac:dyDescent="0.25">
      <c r="A71" s="5" t="s">
        <v>19</v>
      </c>
      <c r="B71" s="5" t="s">
        <v>171</v>
      </c>
      <c r="C71" s="5" t="str">
        <f t="shared" si="2"/>
        <v>GE</v>
      </c>
      <c r="D71" s="5" t="str">
        <f t="shared" si="3"/>
        <v>Georgia - GE</v>
      </c>
    </row>
    <row r="72" spans="1:4" x14ac:dyDescent="0.25">
      <c r="A72" s="5" t="s">
        <v>172</v>
      </c>
      <c r="B72" s="5" t="s">
        <v>173</v>
      </c>
      <c r="C72" s="5" t="str">
        <f t="shared" si="2"/>
        <v>GF</v>
      </c>
      <c r="D72" s="5" t="str">
        <f t="shared" si="3"/>
        <v>French Guiana - GF</v>
      </c>
    </row>
    <row r="73" spans="1:4" x14ac:dyDescent="0.25">
      <c r="A73" s="5" t="s">
        <v>174</v>
      </c>
      <c r="B73" s="5" t="s">
        <v>175</v>
      </c>
      <c r="C73" s="5" t="str">
        <f t="shared" si="2"/>
        <v>GG</v>
      </c>
      <c r="D73" s="5" t="str">
        <f t="shared" si="3"/>
        <v>Guernsey - GG</v>
      </c>
    </row>
    <row r="74" spans="1:4" x14ac:dyDescent="0.25">
      <c r="A74" s="5" t="s">
        <v>176</v>
      </c>
      <c r="B74" s="5" t="s">
        <v>177</v>
      </c>
      <c r="C74" s="5" t="str">
        <f t="shared" si="2"/>
        <v>GH</v>
      </c>
      <c r="D74" s="5" t="str">
        <f t="shared" si="3"/>
        <v>Ghana - GH</v>
      </c>
    </row>
    <row r="75" spans="1:4" x14ac:dyDescent="0.25">
      <c r="A75" s="5" t="s">
        <v>178</v>
      </c>
      <c r="B75" s="5" t="s">
        <v>179</v>
      </c>
      <c r="C75" s="5" t="str">
        <f t="shared" si="2"/>
        <v>GI</v>
      </c>
      <c r="D75" s="5" t="str">
        <f t="shared" si="3"/>
        <v>Gibraltar - GI</v>
      </c>
    </row>
    <row r="76" spans="1:4" x14ac:dyDescent="0.25">
      <c r="A76" s="5" t="s">
        <v>180</v>
      </c>
      <c r="B76" s="5" t="s">
        <v>181</v>
      </c>
      <c r="C76" s="5" t="str">
        <f t="shared" si="2"/>
        <v>GL</v>
      </c>
      <c r="D76" s="5" t="str">
        <f t="shared" si="3"/>
        <v>Greenland - GL</v>
      </c>
    </row>
    <row r="77" spans="1:4" x14ac:dyDescent="0.25">
      <c r="A77" s="5" t="s">
        <v>182</v>
      </c>
      <c r="B77" s="5" t="s">
        <v>183</v>
      </c>
      <c r="C77" s="5" t="str">
        <f t="shared" si="2"/>
        <v>GM</v>
      </c>
      <c r="D77" s="5" t="str">
        <f t="shared" si="3"/>
        <v>Gambia - GM</v>
      </c>
    </row>
    <row r="78" spans="1:4" x14ac:dyDescent="0.25">
      <c r="A78" s="5" t="s">
        <v>20</v>
      </c>
      <c r="B78" s="5" t="s">
        <v>184</v>
      </c>
      <c r="C78" s="5" t="str">
        <f t="shared" si="2"/>
        <v>GN</v>
      </c>
      <c r="D78" s="5" t="str">
        <f t="shared" si="3"/>
        <v>Guinea - GN</v>
      </c>
    </row>
    <row r="79" spans="1:4" x14ac:dyDescent="0.25">
      <c r="A79" s="5" t="s">
        <v>185</v>
      </c>
      <c r="B79" s="5" t="s">
        <v>186</v>
      </c>
      <c r="C79" s="5" t="str">
        <f t="shared" si="2"/>
        <v>GP</v>
      </c>
      <c r="D79" s="5" t="str">
        <f t="shared" si="3"/>
        <v>Guadeloupe - GP</v>
      </c>
    </row>
    <row r="80" spans="1:4" x14ac:dyDescent="0.25">
      <c r="A80" s="5" t="s">
        <v>187</v>
      </c>
      <c r="B80" s="5" t="s">
        <v>188</v>
      </c>
      <c r="C80" s="5" t="str">
        <f t="shared" si="2"/>
        <v>GQ</v>
      </c>
      <c r="D80" s="5" t="str">
        <f t="shared" si="3"/>
        <v>Equatorial Guinea - GQ</v>
      </c>
    </row>
    <row r="81" spans="1:4" x14ac:dyDescent="0.25">
      <c r="A81" s="5" t="s">
        <v>21</v>
      </c>
      <c r="B81" s="5" t="s">
        <v>189</v>
      </c>
      <c r="C81" s="5" t="str">
        <f t="shared" si="2"/>
        <v>GR</v>
      </c>
      <c r="D81" s="5" t="str">
        <f t="shared" si="3"/>
        <v>Greece - GR</v>
      </c>
    </row>
    <row r="82" spans="1:4" x14ac:dyDescent="0.25">
      <c r="A82" s="5" t="s">
        <v>190</v>
      </c>
      <c r="B82" s="5" t="s">
        <v>191</v>
      </c>
      <c r="C82" s="5" t="str">
        <f t="shared" si="2"/>
        <v>GT</v>
      </c>
      <c r="D82" s="5" t="str">
        <f t="shared" si="3"/>
        <v>Guatemala - GT</v>
      </c>
    </row>
    <row r="83" spans="1:4" x14ac:dyDescent="0.25">
      <c r="A83" s="5" t="s">
        <v>192</v>
      </c>
      <c r="B83" s="5" t="s">
        <v>193</v>
      </c>
      <c r="C83" s="5" t="str">
        <f t="shared" si="2"/>
        <v>GU</v>
      </c>
      <c r="D83" s="5" t="str">
        <f t="shared" si="3"/>
        <v>Guam - GU</v>
      </c>
    </row>
    <row r="84" spans="1:4" x14ac:dyDescent="0.25">
      <c r="A84" s="5" t="s">
        <v>194</v>
      </c>
      <c r="B84" s="5" t="s">
        <v>195</v>
      </c>
      <c r="C84" s="5" t="str">
        <f t="shared" si="2"/>
        <v>GW</v>
      </c>
      <c r="D84" s="5" t="str">
        <f t="shared" si="3"/>
        <v>Guinea-Bissau - GW</v>
      </c>
    </row>
    <row r="85" spans="1:4" x14ac:dyDescent="0.25">
      <c r="A85" s="5" t="s">
        <v>196</v>
      </c>
      <c r="B85" s="5" t="s">
        <v>197</v>
      </c>
      <c r="C85" s="5" t="str">
        <f t="shared" si="2"/>
        <v>GY</v>
      </c>
      <c r="D85" s="5" t="str">
        <f t="shared" si="3"/>
        <v>Guyana - GY</v>
      </c>
    </row>
    <row r="86" spans="1:4" x14ac:dyDescent="0.25">
      <c r="A86" s="5" t="s">
        <v>198</v>
      </c>
      <c r="B86" s="5" t="s">
        <v>199</v>
      </c>
      <c r="C86" s="5" t="str">
        <f t="shared" si="2"/>
        <v>HK</v>
      </c>
      <c r="D86" s="5" t="str">
        <f t="shared" si="3"/>
        <v>Hong Kong - HK</v>
      </c>
    </row>
    <row r="87" spans="1:4" x14ac:dyDescent="0.25">
      <c r="A87" s="5" t="s">
        <v>200</v>
      </c>
      <c r="B87" s="5" t="s">
        <v>201</v>
      </c>
      <c r="C87" s="5" t="str">
        <f t="shared" si="2"/>
        <v>HN</v>
      </c>
      <c r="D87" s="5" t="str">
        <f t="shared" si="3"/>
        <v>Honduras - HN</v>
      </c>
    </row>
    <row r="88" spans="1:4" x14ac:dyDescent="0.25">
      <c r="A88" s="5" t="s">
        <v>22</v>
      </c>
      <c r="B88" s="5" t="s">
        <v>202</v>
      </c>
      <c r="C88" s="5" t="str">
        <f t="shared" si="2"/>
        <v>HR</v>
      </c>
      <c r="D88" s="5" t="str">
        <f t="shared" si="3"/>
        <v>Croatia - HR</v>
      </c>
    </row>
    <row r="89" spans="1:4" x14ac:dyDescent="0.25">
      <c r="A89" s="5" t="s">
        <v>203</v>
      </c>
      <c r="B89" s="5" t="s">
        <v>204</v>
      </c>
      <c r="C89" s="5" t="str">
        <f t="shared" si="2"/>
        <v>HT</v>
      </c>
      <c r="D89" s="5" t="str">
        <f t="shared" si="3"/>
        <v>Haiti - HT</v>
      </c>
    </row>
    <row r="90" spans="1:4" x14ac:dyDescent="0.25">
      <c r="A90" s="5" t="s">
        <v>23</v>
      </c>
      <c r="B90" s="5" t="s">
        <v>205</v>
      </c>
      <c r="C90" s="5" t="str">
        <f t="shared" si="2"/>
        <v>HU</v>
      </c>
      <c r="D90" s="5" t="str">
        <f t="shared" si="3"/>
        <v>Hungary - HU</v>
      </c>
    </row>
    <row r="91" spans="1:4" x14ac:dyDescent="0.25">
      <c r="A91" s="5" t="s">
        <v>206</v>
      </c>
      <c r="B91" s="5" t="s">
        <v>207</v>
      </c>
      <c r="C91" s="5" t="str">
        <f t="shared" si="2"/>
        <v>IC</v>
      </c>
      <c r="D91" s="5" t="str">
        <f t="shared" si="3"/>
        <v>Canary Islands - IC</v>
      </c>
    </row>
    <row r="92" spans="1:4" x14ac:dyDescent="0.25">
      <c r="A92" s="5" t="s">
        <v>24</v>
      </c>
      <c r="B92" s="5" t="s">
        <v>208</v>
      </c>
      <c r="C92" s="5" t="str">
        <f t="shared" si="2"/>
        <v>ID</v>
      </c>
      <c r="D92" s="5" t="str">
        <f t="shared" si="3"/>
        <v>Indonesia - ID</v>
      </c>
    </row>
    <row r="93" spans="1:4" x14ac:dyDescent="0.25">
      <c r="A93" s="5" t="s">
        <v>25</v>
      </c>
      <c r="B93" s="5" t="s">
        <v>209</v>
      </c>
      <c r="C93" s="5" t="str">
        <f t="shared" si="2"/>
        <v>IE</v>
      </c>
      <c r="D93" s="5" t="str">
        <f t="shared" si="3"/>
        <v>Ireland - IE</v>
      </c>
    </row>
    <row r="94" spans="1:4" x14ac:dyDescent="0.25">
      <c r="A94" s="5" t="s">
        <v>26</v>
      </c>
      <c r="B94" s="5" t="s">
        <v>210</v>
      </c>
      <c r="C94" s="5" t="str">
        <f t="shared" si="2"/>
        <v>IL</v>
      </c>
      <c r="D94" s="5" t="str">
        <f t="shared" si="3"/>
        <v>Israel - IL</v>
      </c>
    </row>
    <row r="95" spans="1:4" x14ac:dyDescent="0.25">
      <c r="A95" s="5" t="s">
        <v>27</v>
      </c>
      <c r="B95" s="5" t="s">
        <v>211</v>
      </c>
      <c r="C95" s="5" t="str">
        <f t="shared" si="2"/>
        <v>IN</v>
      </c>
      <c r="D95" s="5" t="str">
        <f t="shared" si="3"/>
        <v>India - IN</v>
      </c>
    </row>
    <row r="96" spans="1:4" x14ac:dyDescent="0.25">
      <c r="A96" s="5" t="s">
        <v>212</v>
      </c>
      <c r="B96" s="5" t="s">
        <v>213</v>
      </c>
      <c r="C96" s="5" t="str">
        <f t="shared" si="2"/>
        <v>IQ</v>
      </c>
      <c r="D96" s="5" t="str">
        <f t="shared" si="3"/>
        <v>Iraq - IQ</v>
      </c>
    </row>
    <row r="97" spans="1:4" x14ac:dyDescent="0.25">
      <c r="A97" s="5" t="s">
        <v>214</v>
      </c>
      <c r="B97" s="5" t="s">
        <v>215</v>
      </c>
      <c r="C97" s="5" t="str">
        <f t="shared" si="2"/>
        <v>IR</v>
      </c>
      <c r="D97" s="5" t="str">
        <f t="shared" si="3"/>
        <v>Iran - IR</v>
      </c>
    </row>
    <row r="98" spans="1:4" x14ac:dyDescent="0.25">
      <c r="A98" s="5" t="s">
        <v>216</v>
      </c>
      <c r="B98" s="5" t="s">
        <v>217</v>
      </c>
      <c r="C98" s="5" t="str">
        <f t="shared" si="2"/>
        <v>IS</v>
      </c>
      <c r="D98" s="5" t="str">
        <f t="shared" si="3"/>
        <v>Iceland - IS</v>
      </c>
    </row>
    <row r="99" spans="1:4" x14ac:dyDescent="0.25">
      <c r="A99" s="5" t="s">
        <v>28</v>
      </c>
      <c r="B99" s="5" t="s">
        <v>218</v>
      </c>
      <c r="C99" s="5" t="str">
        <f t="shared" si="2"/>
        <v>IT</v>
      </c>
      <c r="D99" s="5" t="str">
        <f t="shared" si="3"/>
        <v>Italy - IT</v>
      </c>
    </row>
    <row r="100" spans="1:4" x14ac:dyDescent="0.25">
      <c r="A100" s="5" t="s">
        <v>219</v>
      </c>
      <c r="B100" s="5" t="s">
        <v>220</v>
      </c>
      <c r="C100" s="5" t="str">
        <f t="shared" si="2"/>
        <v>JE</v>
      </c>
      <c r="D100" s="5" t="str">
        <f t="shared" si="3"/>
        <v>Jersey - JE</v>
      </c>
    </row>
    <row r="101" spans="1:4" x14ac:dyDescent="0.25">
      <c r="A101" s="5" t="s">
        <v>221</v>
      </c>
      <c r="B101" s="5" t="s">
        <v>222</v>
      </c>
      <c r="C101" s="5" t="str">
        <f t="shared" si="2"/>
        <v>JM</v>
      </c>
      <c r="D101" s="5" t="str">
        <f t="shared" si="3"/>
        <v>Jamaica - JM</v>
      </c>
    </row>
    <row r="102" spans="1:4" x14ac:dyDescent="0.25">
      <c r="A102" s="5" t="s">
        <v>29</v>
      </c>
      <c r="B102" s="5" t="s">
        <v>223</v>
      </c>
      <c r="C102" s="5" t="str">
        <f t="shared" si="2"/>
        <v>JO</v>
      </c>
      <c r="D102" s="5" t="str">
        <f t="shared" si="3"/>
        <v>Jordan - JO</v>
      </c>
    </row>
    <row r="103" spans="1:4" x14ac:dyDescent="0.25">
      <c r="A103" s="5" t="s">
        <v>224</v>
      </c>
      <c r="B103" s="5" t="s">
        <v>225</v>
      </c>
      <c r="C103" s="5" t="str">
        <f t="shared" si="2"/>
        <v>JP</v>
      </c>
      <c r="D103" s="5" t="str">
        <f t="shared" si="3"/>
        <v>Japan - JP</v>
      </c>
    </row>
    <row r="104" spans="1:4" x14ac:dyDescent="0.25">
      <c r="A104" s="5" t="s">
        <v>30</v>
      </c>
      <c r="B104" s="5" t="s">
        <v>226</v>
      </c>
      <c r="C104" s="5" t="str">
        <f t="shared" si="2"/>
        <v>KE</v>
      </c>
      <c r="D104" s="5" t="str">
        <f t="shared" si="3"/>
        <v>Kenya - KE</v>
      </c>
    </row>
    <row r="105" spans="1:4" x14ac:dyDescent="0.25">
      <c r="A105" s="5" t="s">
        <v>227</v>
      </c>
      <c r="B105" s="5" t="s">
        <v>228</v>
      </c>
      <c r="C105" s="5" t="str">
        <f t="shared" si="2"/>
        <v>KG</v>
      </c>
      <c r="D105" s="5" t="str">
        <f t="shared" si="3"/>
        <v>Kyrgyzstan - KG</v>
      </c>
    </row>
    <row r="106" spans="1:4" x14ac:dyDescent="0.25">
      <c r="A106" s="5" t="s">
        <v>229</v>
      </c>
      <c r="B106" s="5" t="s">
        <v>230</v>
      </c>
      <c r="C106" s="5" t="str">
        <f t="shared" si="2"/>
        <v>KH</v>
      </c>
      <c r="D106" s="5" t="str">
        <f t="shared" si="3"/>
        <v>Cambodia - KH</v>
      </c>
    </row>
    <row r="107" spans="1:4" x14ac:dyDescent="0.25">
      <c r="A107" s="5" t="s">
        <v>231</v>
      </c>
      <c r="B107" s="5" t="s">
        <v>232</v>
      </c>
      <c r="C107" s="5" t="str">
        <f t="shared" si="2"/>
        <v>KI</v>
      </c>
      <c r="D107" s="5" t="str">
        <f t="shared" si="3"/>
        <v>Kiribati - KI</v>
      </c>
    </row>
    <row r="108" spans="1:4" x14ac:dyDescent="0.25">
      <c r="A108" s="5" t="s">
        <v>233</v>
      </c>
      <c r="B108" s="5" t="s">
        <v>234</v>
      </c>
      <c r="C108" s="5" t="str">
        <f t="shared" si="2"/>
        <v>KM</v>
      </c>
      <c r="D108" s="5" t="str">
        <f t="shared" si="3"/>
        <v>Comoros - KM</v>
      </c>
    </row>
    <row r="109" spans="1:4" x14ac:dyDescent="0.25">
      <c r="A109" s="5" t="s">
        <v>235</v>
      </c>
      <c r="B109" s="5" t="s">
        <v>236</v>
      </c>
      <c r="C109" s="5" t="str">
        <f t="shared" si="2"/>
        <v>KN</v>
      </c>
      <c r="D109" s="5" t="str">
        <f t="shared" si="3"/>
        <v>St. Kitts - KN</v>
      </c>
    </row>
    <row r="110" spans="1:4" x14ac:dyDescent="0.25">
      <c r="A110" s="5" t="s">
        <v>237</v>
      </c>
      <c r="B110" s="5" t="s">
        <v>238</v>
      </c>
      <c r="C110" s="5" t="str">
        <f t="shared" si="2"/>
        <v>KP</v>
      </c>
      <c r="D110" s="5" t="str">
        <f t="shared" si="3"/>
        <v>North Korea - KP</v>
      </c>
    </row>
    <row r="111" spans="1:4" x14ac:dyDescent="0.25">
      <c r="A111" s="5" t="s">
        <v>239</v>
      </c>
      <c r="B111" s="5" t="s">
        <v>240</v>
      </c>
      <c r="C111" s="5" t="str">
        <f t="shared" si="2"/>
        <v>KR</v>
      </c>
      <c r="D111" s="5" t="str">
        <f t="shared" si="3"/>
        <v>South Korea - KR</v>
      </c>
    </row>
    <row r="112" spans="1:4" x14ac:dyDescent="0.25">
      <c r="A112" s="5" t="s">
        <v>241</v>
      </c>
      <c r="B112" s="5" t="s">
        <v>242</v>
      </c>
      <c r="C112" s="5" t="str">
        <f t="shared" si="2"/>
        <v>KV</v>
      </c>
      <c r="D112" s="5" t="str">
        <f t="shared" si="3"/>
        <v>Kosovo - KV</v>
      </c>
    </row>
    <row r="113" spans="1:4" x14ac:dyDescent="0.25">
      <c r="A113" s="5" t="s">
        <v>31</v>
      </c>
      <c r="B113" s="5" t="s">
        <v>243</v>
      </c>
      <c r="C113" s="5" t="str">
        <f t="shared" si="2"/>
        <v>KW</v>
      </c>
      <c r="D113" s="5" t="str">
        <f t="shared" si="3"/>
        <v>Kuwait - KW</v>
      </c>
    </row>
    <row r="114" spans="1:4" x14ac:dyDescent="0.25">
      <c r="A114" s="5" t="s">
        <v>244</v>
      </c>
      <c r="B114" s="5" t="s">
        <v>245</v>
      </c>
      <c r="C114" s="5" t="str">
        <f t="shared" si="2"/>
        <v>KY</v>
      </c>
      <c r="D114" s="5" t="str">
        <f t="shared" si="3"/>
        <v>Cayman Islands - KY</v>
      </c>
    </row>
    <row r="115" spans="1:4" x14ac:dyDescent="0.25">
      <c r="A115" s="5" t="s">
        <v>246</v>
      </c>
      <c r="B115" s="5" t="s">
        <v>247</v>
      </c>
      <c r="C115" s="5" t="str">
        <f t="shared" si="2"/>
        <v>KZ</v>
      </c>
      <c r="D115" s="5" t="str">
        <f t="shared" si="3"/>
        <v>Kazakhstan - KZ</v>
      </c>
    </row>
    <row r="116" spans="1:4" x14ac:dyDescent="0.25">
      <c r="A116" s="5" t="s">
        <v>248</v>
      </c>
      <c r="B116" s="5" t="s">
        <v>249</v>
      </c>
      <c r="C116" s="5" t="str">
        <f t="shared" si="2"/>
        <v>LA</v>
      </c>
      <c r="D116" s="5" t="str">
        <f t="shared" si="3"/>
        <v>Laos - LA</v>
      </c>
    </row>
    <row r="117" spans="1:4" x14ac:dyDescent="0.25">
      <c r="A117" s="5" t="s">
        <v>250</v>
      </c>
      <c r="B117" s="5" t="s">
        <v>251</v>
      </c>
      <c r="C117" s="5" t="str">
        <f t="shared" si="2"/>
        <v>LB</v>
      </c>
      <c r="D117" s="5" t="str">
        <f t="shared" si="3"/>
        <v>Lebanon - LB</v>
      </c>
    </row>
    <row r="118" spans="1:4" x14ac:dyDescent="0.25">
      <c r="A118" s="5" t="s">
        <v>252</v>
      </c>
      <c r="B118" s="5" t="s">
        <v>253</v>
      </c>
      <c r="C118" s="5" t="str">
        <f t="shared" si="2"/>
        <v>LC</v>
      </c>
      <c r="D118" s="5" t="str">
        <f t="shared" si="3"/>
        <v>St. Lucia - LC</v>
      </c>
    </row>
    <row r="119" spans="1:4" x14ac:dyDescent="0.25">
      <c r="A119" s="5" t="s">
        <v>254</v>
      </c>
      <c r="B119" s="5" t="s">
        <v>255</v>
      </c>
      <c r="C119" s="5" t="str">
        <f t="shared" si="2"/>
        <v>LK</v>
      </c>
      <c r="D119" s="5" t="str">
        <f t="shared" si="3"/>
        <v>Sri Lanka - LK</v>
      </c>
    </row>
    <row r="120" spans="1:4" x14ac:dyDescent="0.25">
      <c r="A120" s="5" t="s">
        <v>256</v>
      </c>
      <c r="B120" s="5" t="s">
        <v>257</v>
      </c>
      <c r="C120" s="5" t="str">
        <f t="shared" si="2"/>
        <v>LR</v>
      </c>
      <c r="D120" s="5" t="str">
        <f t="shared" si="3"/>
        <v>Liberia - LR</v>
      </c>
    </row>
    <row r="121" spans="1:4" x14ac:dyDescent="0.25">
      <c r="A121" s="5" t="s">
        <v>258</v>
      </c>
      <c r="B121" s="5" t="s">
        <v>259</v>
      </c>
      <c r="C121" s="5" t="str">
        <f t="shared" si="2"/>
        <v>LS</v>
      </c>
      <c r="D121" s="5" t="str">
        <f t="shared" si="3"/>
        <v>Lesotho - LS</v>
      </c>
    </row>
    <row r="122" spans="1:4" x14ac:dyDescent="0.25">
      <c r="A122" s="5" t="s">
        <v>260</v>
      </c>
      <c r="B122" s="5" t="s">
        <v>261</v>
      </c>
      <c r="C122" s="5" t="str">
        <f t="shared" si="2"/>
        <v>LT</v>
      </c>
      <c r="D122" s="5" t="str">
        <f t="shared" si="3"/>
        <v>Lithuania - LT</v>
      </c>
    </row>
    <row r="123" spans="1:4" x14ac:dyDescent="0.25">
      <c r="A123" s="5" t="s">
        <v>262</v>
      </c>
      <c r="B123" s="5" t="s">
        <v>263</v>
      </c>
      <c r="C123" s="5" t="str">
        <f t="shared" si="2"/>
        <v>LU</v>
      </c>
      <c r="D123" s="5" t="str">
        <f t="shared" si="3"/>
        <v>Luxembourg - LU</v>
      </c>
    </row>
    <row r="124" spans="1:4" x14ac:dyDescent="0.25">
      <c r="A124" s="5" t="s">
        <v>32</v>
      </c>
      <c r="B124" s="5" t="s">
        <v>264</v>
      </c>
      <c r="C124" s="5" t="str">
        <f t="shared" si="2"/>
        <v>LV</v>
      </c>
      <c r="D124" s="5" t="str">
        <f t="shared" si="3"/>
        <v>Latvia - LV</v>
      </c>
    </row>
    <row r="125" spans="1:4" x14ac:dyDescent="0.25">
      <c r="A125" s="5" t="s">
        <v>33</v>
      </c>
      <c r="B125" s="5" t="s">
        <v>265</v>
      </c>
      <c r="C125" s="5" t="str">
        <f t="shared" si="2"/>
        <v>LY</v>
      </c>
      <c r="D125" s="5" t="str">
        <f t="shared" si="3"/>
        <v>Libya - LY</v>
      </c>
    </row>
    <row r="126" spans="1:4" x14ac:dyDescent="0.25">
      <c r="A126" s="5" t="s">
        <v>34</v>
      </c>
      <c r="B126" s="5" t="s">
        <v>266</v>
      </c>
      <c r="C126" s="5" t="str">
        <f t="shared" si="2"/>
        <v>MA</v>
      </c>
      <c r="D126" s="5" t="str">
        <f t="shared" si="3"/>
        <v>Morocco - MA</v>
      </c>
    </row>
    <row r="127" spans="1:4" x14ac:dyDescent="0.25">
      <c r="A127" s="5" t="s">
        <v>267</v>
      </c>
      <c r="B127" s="5" t="s">
        <v>268</v>
      </c>
      <c r="C127" s="5" t="str">
        <f t="shared" si="2"/>
        <v>MD</v>
      </c>
      <c r="D127" s="5" t="str">
        <f t="shared" si="3"/>
        <v>Moldova - MD</v>
      </c>
    </row>
    <row r="128" spans="1:4" x14ac:dyDescent="0.25">
      <c r="A128" s="5" t="s">
        <v>269</v>
      </c>
      <c r="B128" s="5" t="s">
        <v>270</v>
      </c>
      <c r="C128" s="5" t="str">
        <f t="shared" si="2"/>
        <v>ME</v>
      </c>
      <c r="D128" s="5" t="str">
        <f t="shared" si="3"/>
        <v>Montenegro - ME</v>
      </c>
    </row>
    <row r="129" spans="1:4" x14ac:dyDescent="0.25">
      <c r="A129" s="5" t="s">
        <v>271</v>
      </c>
      <c r="B129" s="5" t="s">
        <v>272</v>
      </c>
      <c r="C129" s="5" t="str">
        <f t="shared" si="2"/>
        <v>MG</v>
      </c>
      <c r="D129" s="5" t="str">
        <f t="shared" si="3"/>
        <v>Madagascar - MG</v>
      </c>
    </row>
    <row r="130" spans="1:4" x14ac:dyDescent="0.25">
      <c r="A130" s="5" t="s">
        <v>273</v>
      </c>
      <c r="B130" s="5" t="s">
        <v>274</v>
      </c>
      <c r="C130" s="5" t="str">
        <f t="shared" si="2"/>
        <v>MH</v>
      </c>
      <c r="D130" s="5" t="str">
        <f t="shared" si="3"/>
        <v>Marshall Islands - MH</v>
      </c>
    </row>
    <row r="131" spans="1:4" x14ac:dyDescent="0.25">
      <c r="A131" s="5" t="s">
        <v>275</v>
      </c>
      <c r="B131" s="5" t="s">
        <v>276</v>
      </c>
      <c r="C131" s="5" t="str">
        <f t="shared" ref="C131:C194" si="4">A131</f>
        <v>MK</v>
      </c>
      <c r="D131" s="5" t="str">
        <f t="shared" ref="D131:D194" si="5">B131&amp;" - "&amp;A131</f>
        <v>NORTH MACEDONIA - MK</v>
      </c>
    </row>
    <row r="132" spans="1:4" x14ac:dyDescent="0.25">
      <c r="A132" s="5" t="s">
        <v>277</v>
      </c>
      <c r="B132" s="5" t="s">
        <v>278</v>
      </c>
      <c r="C132" s="5" t="str">
        <f t="shared" si="4"/>
        <v>ML</v>
      </c>
      <c r="D132" s="5" t="str">
        <f t="shared" si="5"/>
        <v>Mali - ML</v>
      </c>
    </row>
    <row r="133" spans="1:4" x14ac:dyDescent="0.25">
      <c r="A133" s="5" t="s">
        <v>279</v>
      </c>
      <c r="B133" s="5" t="s">
        <v>280</v>
      </c>
      <c r="C133" s="5" t="str">
        <f t="shared" si="4"/>
        <v>MM</v>
      </c>
      <c r="D133" s="5" t="str">
        <f t="shared" si="5"/>
        <v>Myanmar - MM</v>
      </c>
    </row>
    <row r="134" spans="1:4" x14ac:dyDescent="0.25">
      <c r="A134" s="5" t="s">
        <v>281</v>
      </c>
      <c r="B134" s="5" t="s">
        <v>282</v>
      </c>
      <c r="C134" s="5" t="str">
        <f t="shared" si="4"/>
        <v>MN</v>
      </c>
      <c r="D134" s="5" t="str">
        <f t="shared" si="5"/>
        <v>Mongolia - MN</v>
      </c>
    </row>
    <row r="135" spans="1:4" x14ac:dyDescent="0.25">
      <c r="A135" s="5" t="s">
        <v>283</v>
      </c>
      <c r="B135" s="5" t="s">
        <v>284</v>
      </c>
      <c r="C135" s="5" t="str">
        <f t="shared" si="4"/>
        <v>MO</v>
      </c>
      <c r="D135" s="5" t="str">
        <f t="shared" si="5"/>
        <v>Macau - MO</v>
      </c>
    </row>
    <row r="136" spans="1:4" x14ac:dyDescent="0.25">
      <c r="A136" s="5" t="s">
        <v>285</v>
      </c>
      <c r="B136" s="5" t="s">
        <v>286</v>
      </c>
      <c r="C136" s="5" t="str">
        <f t="shared" si="4"/>
        <v>MP</v>
      </c>
      <c r="D136" s="5" t="str">
        <f t="shared" si="5"/>
        <v>Northern Mariana Islands - MP</v>
      </c>
    </row>
    <row r="137" spans="1:4" x14ac:dyDescent="0.25">
      <c r="A137" s="5" t="s">
        <v>287</v>
      </c>
      <c r="B137" s="5" t="s">
        <v>288</v>
      </c>
      <c r="C137" s="5" t="str">
        <f t="shared" si="4"/>
        <v>MQ</v>
      </c>
      <c r="D137" s="5" t="str">
        <f t="shared" si="5"/>
        <v>Martinique - MQ</v>
      </c>
    </row>
    <row r="138" spans="1:4" x14ac:dyDescent="0.25">
      <c r="A138" s="5" t="s">
        <v>289</v>
      </c>
      <c r="B138" s="5" t="s">
        <v>290</v>
      </c>
      <c r="C138" s="5" t="str">
        <f t="shared" si="4"/>
        <v>MR</v>
      </c>
      <c r="D138" s="5" t="str">
        <f t="shared" si="5"/>
        <v>Mauritania - MR</v>
      </c>
    </row>
    <row r="139" spans="1:4" x14ac:dyDescent="0.25">
      <c r="A139" s="5" t="s">
        <v>291</v>
      </c>
      <c r="B139" s="5" t="s">
        <v>292</v>
      </c>
      <c r="C139" s="5" t="str">
        <f t="shared" si="4"/>
        <v>MS</v>
      </c>
      <c r="D139" s="5" t="str">
        <f t="shared" si="5"/>
        <v>Montserrat - MS</v>
      </c>
    </row>
    <row r="140" spans="1:4" x14ac:dyDescent="0.25">
      <c r="A140" s="5" t="s">
        <v>293</v>
      </c>
      <c r="B140" s="5" t="s">
        <v>294</v>
      </c>
      <c r="C140" s="5" t="str">
        <f t="shared" si="4"/>
        <v>MT</v>
      </c>
      <c r="D140" s="5" t="str">
        <f t="shared" si="5"/>
        <v>Malta - MT</v>
      </c>
    </row>
    <row r="141" spans="1:4" x14ac:dyDescent="0.25">
      <c r="A141" s="5" t="s">
        <v>295</v>
      </c>
      <c r="B141" s="5" t="s">
        <v>296</v>
      </c>
      <c r="C141" s="5" t="str">
        <f t="shared" si="4"/>
        <v>MU</v>
      </c>
      <c r="D141" s="5" t="str">
        <f t="shared" si="5"/>
        <v>Mauritius - MU</v>
      </c>
    </row>
    <row r="142" spans="1:4" x14ac:dyDescent="0.25">
      <c r="A142" s="5" t="s">
        <v>297</v>
      </c>
      <c r="B142" s="5" t="s">
        <v>298</v>
      </c>
      <c r="C142" s="5" t="str">
        <f t="shared" si="4"/>
        <v>MV</v>
      </c>
      <c r="D142" s="5" t="str">
        <f t="shared" si="5"/>
        <v>Maldives - MV</v>
      </c>
    </row>
    <row r="143" spans="1:4" x14ac:dyDescent="0.25">
      <c r="A143" s="5" t="s">
        <v>299</v>
      </c>
      <c r="B143" s="5" t="s">
        <v>300</v>
      </c>
      <c r="C143" s="5" t="str">
        <f t="shared" si="4"/>
        <v>MW</v>
      </c>
      <c r="D143" s="5" t="str">
        <f t="shared" si="5"/>
        <v>Malawi - MW</v>
      </c>
    </row>
    <row r="144" spans="1:4" x14ac:dyDescent="0.25">
      <c r="A144" s="5" t="s">
        <v>301</v>
      </c>
      <c r="B144" s="5" t="s">
        <v>302</v>
      </c>
      <c r="C144" s="5" t="str">
        <f t="shared" si="4"/>
        <v>MX</v>
      </c>
      <c r="D144" s="5" t="str">
        <f t="shared" si="5"/>
        <v>Mexico - MX</v>
      </c>
    </row>
    <row r="145" spans="1:4" x14ac:dyDescent="0.25">
      <c r="A145" s="5" t="s">
        <v>35</v>
      </c>
      <c r="B145" s="5" t="s">
        <v>303</v>
      </c>
      <c r="C145" s="5" t="str">
        <f t="shared" si="4"/>
        <v>MY</v>
      </c>
      <c r="D145" s="5" t="str">
        <f t="shared" si="5"/>
        <v>Malaysia - MY</v>
      </c>
    </row>
    <row r="146" spans="1:4" x14ac:dyDescent="0.25">
      <c r="A146" s="5" t="s">
        <v>304</v>
      </c>
      <c r="B146" s="5" t="s">
        <v>305</v>
      </c>
      <c r="C146" s="5" t="str">
        <f t="shared" si="4"/>
        <v>MZ</v>
      </c>
      <c r="D146" s="5" t="str">
        <f t="shared" si="5"/>
        <v>Mozambique - MZ</v>
      </c>
    </row>
    <row r="147" spans="1:4" x14ac:dyDescent="0.25">
      <c r="A147" s="5" t="s">
        <v>306</v>
      </c>
      <c r="B147" s="5" t="s">
        <v>307</v>
      </c>
      <c r="C147" s="5" t="str">
        <f t="shared" si="4"/>
        <v>NA</v>
      </c>
      <c r="D147" s="5" t="str">
        <f t="shared" si="5"/>
        <v>Namibia - NA</v>
      </c>
    </row>
    <row r="148" spans="1:4" x14ac:dyDescent="0.25">
      <c r="A148" s="5" t="s">
        <v>308</v>
      </c>
      <c r="B148" s="5" t="s">
        <v>309</v>
      </c>
      <c r="C148" s="5" t="str">
        <f t="shared" si="4"/>
        <v>NC</v>
      </c>
      <c r="D148" s="5" t="str">
        <f t="shared" si="5"/>
        <v>New Caledonia - NC</v>
      </c>
    </row>
    <row r="149" spans="1:4" x14ac:dyDescent="0.25">
      <c r="A149" s="5" t="s">
        <v>310</v>
      </c>
      <c r="B149" s="5" t="s">
        <v>311</v>
      </c>
      <c r="C149" s="5" t="str">
        <f t="shared" si="4"/>
        <v>NE</v>
      </c>
      <c r="D149" s="5" t="str">
        <f t="shared" si="5"/>
        <v>Niger - NE</v>
      </c>
    </row>
    <row r="150" spans="1:4" x14ac:dyDescent="0.25">
      <c r="A150" s="5" t="s">
        <v>312</v>
      </c>
      <c r="B150" s="5" t="s">
        <v>313</v>
      </c>
      <c r="C150" s="5" t="str">
        <f t="shared" si="4"/>
        <v>NG</v>
      </c>
      <c r="D150" s="5" t="str">
        <f t="shared" si="5"/>
        <v>Nigeria - NG</v>
      </c>
    </row>
    <row r="151" spans="1:4" x14ac:dyDescent="0.25">
      <c r="A151" s="5" t="s">
        <v>314</v>
      </c>
      <c r="B151" s="5" t="s">
        <v>315</v>
      </c>
      <c r="C151" s="5" t="str">
        <f t="shared" si="4"/>
        <v>NI</v>
      </c>
      <c r="D151" s="5" t="str">
        <f t="shared" si="5"/>
        <v>Nicaragua - NI</v>
      </c>
    </row>
    <row r="152" spans="1:4" x14ac:dyDescent="0.25">
      <c r="A152" s="5" t="s">
        <v>316</v>
      </c>
      <c r="B152" s="5" t="s">
        <v>317</v>
      </c>
      <c r="C152" s="5" t="str">
        <f t="shared" si="4"/>
        <v>NL</v>
      </c>
      <c r="D152" s="5" t="str">
        <f t="shared" si="5"/>
        <v>Netherlands - NL</v>
      </c>
    </row>
    <row r="153" spans="1:4" x14ac:dyDescent="0.25">
      <c r="A153" s="5" t="s">
        <v>318</v>
      </c>
      <c r="B153" s="5" t="s">
        <v>319</v>
      </c>
      <c r="C153" s="5" t="str">
        <f t="shared" si="4"/>
        <v>NO</v>
      </c>
      <c r="D153" s="5" t="str">
        <f t="shared" si="5"/>
        <v>Norway - NO</v>
      </c>
    </row>
    <row r="154" spans="1:4" x14ac:dyDescent="0.25">
      <c r="A154" s="5" t="s">
        <v>320</v>
      </c>
      <c r="B154" s="5" t="s">
        <v>321</v>
      </c>
      <c r="C154" s="5" t="str">
        <f t="shared" si="4"/>
        <v>NP</v>
      </c>
      <c r="D154" s="5" t="str">
        <f t="shared" si="5"/>
        <v>Nepal - NP</v>
      </c>
    </row>
    <row r="155" spans="1:4" x14ac:dyDescent="0.25">
      <c r="A155" s="5" t="s">
        <v>322</v>
      </c>
      <c r="B155" s="5" t="s">
        <v>323</v>
      </c>
      <c r="C155" s="5" t="str">
        <f t="shared" si="4"/>
        <v>NR</v>
      </c>
      <c r="D155" s="5" t="str">
        <f t="shared" si="5"/>
        <v>Nauru - NR</v>
      </c>
    </row>
    <row r="156" spans="1:4" x14ac:dyDescent="0.25">
      <c r="A156" s="5" t="s">
        <v>324</v>
      </c>
      <c r="B156" s="5" t="s">
        <v>325</v>
      </c>
      <c r="C156" s="5" t="str">
        <f t="shared" si="4"/>
        <v>NU</v>
      </c>
      <c r="D156" s="5" t="str">
        <f t="shared" si="5"/>
        <v>Niue - NU</v>
      </c>
    </row>
    <row r="157" spans="1:4" x14ac:dyDescent="0.25">
      <c r="A157" s="5" t="s">
        <v>326</v>
      </c>
      <c r="B157" s="5" t="s">
        <v>327</v>
      </c>
      <c r="C157" s="5" t="str">
        <f t="shared" si="4"/>
        <v>NZ</v>
      </c>
      <c r="D157" s="5" t="str">
        <f t="shared" si="5"/>
        <v>New Zealand - NZ</v>
      </c>
    </row>
    <row r="158" spans="1:4" x14ac:dyDescent="0.25">
      <c r="A158" s="5" t="s">
        <v>36</v>
      </c>
      <c r="B158" s="5" t="s">
        <v>328</v>
      </c>
      <c r="C158" s="5" t="str">
        <f t="shared" si="4"/>
        <v>OM</v>
      </c>
      <c r="D158" s="5" t="str">
        <f t="shared" si="5"/>
        <v>Oman - OM</v>
      </c>
    </row>
    <row r="159" spans="1:4" x14ac:dyDescent="0.25">
      <c r="A159" s="5" t="s">
        <v>329</v>
      </c>
      <c r="B159" s="5" t="s">
        <v>330</v>
      </c>
      <c r="C159" s="5" t="str">
        <f t="shared" si="4"/>
        <v>Origin Country Code</v>
      </c>
      <c r="D159" s="5" t="str">
        <f t="shared" si="5"/>
        <v>Origin Country Name - Origin Country Code</v>
      </c>
    </row>
    <row r="160" spans="1:4" x14ac:dyDescent="0.25">
      <c r="A160" s="5" t="s">
        <v>331</v>
      </c>
      <c r="B160" s="5" t="s">
        <v>332</v>
      </c>
      <c r="C160" s="5" t="str">
        <f t="shared" si="4"/>
        <v>PA</v>
      </c>
      <c r="D160" s="5" t="str">
        <f t="shared" si="5"/>
        <v>Panama - PA</v>
      </c>
    </row>
    <row r="161" spans="1:4" x14ac:dyDescent="0.25">
      <c r="A161" s="5" t="s">
        <v>333</v>
      </c>
      <c r="B161" s="5" t="s">
        <v>334</v>
      </c>
      <c r="C161" s="5" t="str">
        <f t="shared" si="4"/>
        <v>PE</v>
      </c>
      <c r="D161" s="5" t="str">
        <f t="shared" si="5"/>
        <v>Peru - PE</v>
      </c>
    </row>
    <row r="162" spans="1:4" x14ac:dyDescent="0.25">
      <c r="A162" s="5" t="s">
        <v>335</v>
      </c>
      <c r="B162" s="5" t="s">
        <v>336</v>
      </c>
      <c r="C162" s="5" t="str">
        <f t="shared" si="4"/>
        <v>PF</v>
      </c>
      <c r="D162" s="5" t="str">
        <f t="shared" si="5"/>
        <v>Tahiti - PF</v>
      </c>
    </row>
    <row r="163" spans="1:4" x14ac:dyDescent="0.25">
      <c r="A163" s="5" t="s">
        <v>337</v>
      </c>
      <c r="B163" s="5" t="s">
        <v>338</v>
      </c>
      <c r="C163" s="5" t="str">
        <f t="shared" si="4"/>
        <v>PG</v>
      </c>
      <c r="D163" s="5" t="str">
        <f t="shared" si="5"/>
        <v>Papua New Guinea - PG</v>
      </c>
    </row>
    <row r="164" spans="1:4" x14ac:dyDescent="0.25">
      <c r="A164" s="5" t="s">
        <v>339</v>
      </c>
      <c r="B164" s="5" t="s">
        <v>340</v>
      </c>
      <c r="C164" s="5" t="str">
        <f t="shared" si="4"/>
        <v>PH</v>
      </c>
      <c r="D164" s="5" t="str">
        <f t="shared" si="5"/>
        <v>Philippines - PH</v>
      </c>
    </row>
    <row r="165" spans="1:4" x14ac:dyDescent="0.25">
      <c r="A165" s="5" t="s">
        <v>37</v>
      </c>
      <c r="B165" s="5" t="s">
        <v>341</v>
      </c>
      <c r="C165" s="5" t="str">
        <f t="shared" si="4"/>
        <v>PK</v>
      </c>
      <c r="D165" s="5" t="str">
        <f t="shared" si="5"/>
        <v>Pakistan - PK</v>
      </c>
    </row>
    <row r="166" spans="1:4" x14ac:dyDescent="0.25">
      <c r="A166" s="5" t="s">
        <v>38</v>
      </c>
      <c r="B166" s="5" t="s">
        <v>342</v>
      </c>
      <c r="C166" s="5" t="str">
        <f t="shared" si="4"/>
        <v>PL</v>
      </c>
      <c r="D166" s="5" t="str">
        <f t="shared" si="5"/>
        <v>Poland - PL</v>
      </c>
    </row>
    <row r="167" spans="1:4" x14ac:dyDescent="0.25">
      <c r="A167" s="5" t="s">
        <v>343</v>
      </c>
      <c r="B167" s="5" t="s">
        <v>344</v>
      </c>
      <c r="C167" s="5" t="str">
        <f t="shared" si="4"/>
        <v>PN</v>
      </c>
      <c r="D167" s="5" t="str">
        <f t="shared" si="5"/>
        <v>Pitcairn Islands - PN</v>
      </c>
    </row>
    <row r="168" spans="1:4" x14ac:dyDescent="0.25">
      <c r="A168" s="5" t="s">
        <v>345</v>
      </c>
      <c r="B168" s="5" t="s">
        <v>346</v>
      </c>
      <c r="C168" s="5" t="str">
        <f t="shared" si="4"/>
        <v>PR</v>
      </c>
      <c r="D168" s="5" t="str">
        <f t="shared" si="5"/>
        <v>Puerto Rico - PR</v>
      </c>
    </row>
    <row r="169" spans="1:4" x14ac:dyDescent="0.25">
      <c r="A169" s="5" t="s">
        <v>39</v>
      </c>
      <c r="B169" s="5" t="s">
        <v>347</v>
      </c>
      <c r="C169" s="5" t="str">
        <f t="shared" si="4"/>
        <v>PT</v>
      </c>
      <c r="D169" s="5" t="str">
        <f t="shared" si="5"/>
        <v>Portugal - PT</v>
      </c>
    </row>
    <row r="170" spans="1:4" x14ac:dyDescent="0.25">
      <c r="A170" s="5" t="s">
        <v>348</v>
      </c>
      <c r="B170" s="5" t="s">
        <v>349</v>
      </c>
      <c r="C170" s="5" t="str">
        <f t="shared" si="4"/>
        <v>PW</v>
      </c>
      <c r="D170" s="5" t="str">
        <f t="shared" si="5"/>
        <v>Palau - PW</v>
      </c>
    </row>
    <row r="171" spans="1:4" x14ac:dyDescent="0.25">
      <c r="A171" s="5" t="s">
        <v>350</v>
      </c>
      <c r="B171" s="5" t="s">
        <v>351</v>
      </c>
      <c r="C171" s="5" t="str">
        <f t="shared" si="4"/>
        <v>PY</v>
      </c>
      <c r="D171" s="5" t="str">
        <f t="shared" si="5"/>
        <v>Paraguay - PY</v>
      </c>
    </row>
    <row r="172" spans="1:4" x14ac:dyDescent="0.25">
      <c r="A172" s="5" t="s">
        <v>40</v>
      </c>
      <c r="B172" s="5" t="s">
        <v>352</v>
      </c>
      <c r="C172" s="5" t="str">
        <f t="shared" si="4"/>
        <v>QA</v>
      </c>
      <c r="D172" s="5" t="str">
        <f t="shared" si="5"/>
        <v>Qatar - QA</v>
      </c>
    </row>
    <row r="173" spans="1:4" x14ac:dyDescent="0.25">
      <c r="A173" s="5" t="s">
        <v>353</v>
      </c>
      <c r="B173" s="5" t="s">
        <v>354</v>
      </c>
      <c r="C173" s="5" t="str">
        <f t="shared" si="4"/>
        <v>RE</v>
      </c>
      <c r="D173" s="5" t="str">
        <f t="shared" si="5"/>
        <v>Reunion - RE</v>
      </c>
    </row>
    <row r="174" spans="1:4" x14ac:dyDescent="0.25">
      <c r="A174" s="5" t="s">
        <v>355</v>
      </c>
      <c r="B174" s="5" t="s">
        <v>356</v>
      </c>
      <c r="C174" s="5" t="str">
        <f t="shared" si="4"/>
        <v>RO</v>
      </c>
      <c r="D174" s="5" t="str">
        <f t="shared" si="5"/>
        <v>Romania - RO</v>
      </c>
    </row>
    <row r="175" spans="1:4" x14ac:dyDescent="0.25">
      <c r="A175" s="5" t="s">
        <v>41</v>
      </c>
      <c r="B175" s="5" t="s">
        <v>357</v>
      </c>
      <c r="C175" s="5" t="str">
        <f t="shared" si="4"/>
        <v>RS</v>
      </c>
      <c r="D175" s="5" t="str">
        <f t="shared" si="5"/>
        <v>Serbia - RS</v>
      </c>
    </row>
    <row r="176" spans="1:4" x14ac:dyDescent="0.25">
      <c r="A176" s="5" t="s">
        <v>42</v>
      </c>
      <c r="B176" s="5" t="s">
        <v>358</v>
      </c>
      <c r="C176" s="5" t="str">
        <f t="shared" si="4"/>
        <v>RU</v>
      </c>
      <c r="D176" s="5" t="str">
        <f t="shared" si="5"/>
        <v>Russia - RU</v>
      </c>
    </row>
    <row r="177" spans="1:4" x14ac:dyDescent="0.25">
      <c r="A177" s="5" t="s">
        <v>359</v>
      </c>
      <c r="B177" s="5" t="s">
        <v>360</v>
      </c>
      <c r="C177" s="5" t="str">
        <f t="shared" si="4"/>
        <v>RW</v>
      </c>
      <c r="D177" s="5" t="str">
        <f t="shared" si="5"/>
        <v>Rwanda - RW</v>
      </c>
    </row>
    <row r="178" spans="1:4" x14ac:dyDescent="0.25">
      <c r="A178" s="5" t="s">
        <v>361</v>
      </c>
      <c r="B178" s="5" t="s">
        <v>362</v>
      </c>
      <c r="C178" s="5" t="str">
        <f t="shared" si="4"/>
        <v>SA</v>
      </c>
      <c r="D178" s="5" t="str">
        <f t="shared" si="5"/>
        <v>Saudi Arabia - SA</v>
      </c>
    </row>
    <row r="179" spans="1:4" x14ac:dyDescent="0.25">
      <c r="A179" s="5" t="s">
        <v>363</v>
      </c>
      <c r="B179" s="5" t="s">
        <v>364</v>
      </c>
      <c r="C179" s="5" t="str">
        <f t="shared" si="4"/>
        <v>SB</v>
      </c>
      <c r="D179" s="5" t="str">
        <f t="shared" si="5"/>
        <v>Solomon Islands - SB</v>
      </c>
    </row>
    <row r="180" spans="1:4" x14ac:dyDescent="0.25">
      <c r="A180" s="5" t="s">
        <v>365</v>
      </c>
      <c r="B180" s="5" t="s">
        <v>366</v>
      </c>
      <c r="C180" s="5" t="str">
        <f t="shared" si="4"/>
        <v>SC</v>
      </c>
      <c r="D180" s="5" t="str">
        <f t="shared" si="5"/>
        <v>Seychelles - SC</v>
      </c>
    </row>
    <row r="181" spans="1:4" x14ac:dyDescent="0.25">
      <c r="A181" s="5" t="s">
        <v>367</v>
      </c>
      <c r="B181" s="5" t="s">
        <v>368</v>
      </c>
      <c r="C181" s="5" t="str">
        <f t="shared" si="4"/>
        <v>SD</v>
      </c>
      <c r="D181" s="5" t="str">
        <f t="shared" si="5"/>
        <v>Sudan - SD</v>
      </c>
    </row>
    <row r="182" spans="1:4" x14ac:dyDescent="0.25">
      <c r="A182" s="5" t="s">
        <v>43</v>
      </c>
      <c r="B182" s="5" t="s">
        <v>369</v>
      </c>
      <c r="C182" s="5" t="str">
        <f t="shared" si="4"/>
        <v>SE</v>
      </c>
      <c r="D182" s="5" t="str">
        <f t="shared" si="5"/>
        <v>Sweden - SE</v>
      </c>
    </row>
    <row r="183" spans="1:4" x14ac:dyDescent="0.25">
      <c r="A183" s="5" t="s">
        <v>370</v>
      </c>
      <c r="B183" s="5" t="s">
        <v>371</v>
      </c>
      <c r="C183" s="5" t="str">
        <f t="shared" si="4"/>
        <v>SG</v>
      </c>
      <c r="D183" s="5" t="str">
        <f t="shared" si="5"/>
        <v>Singapore - SG</v>
      </c>
    </row>
    <row r="184" spans="1:4" x14ac:dyDescent="0.25">
      <c r="A184" s="5" t="s">
        <v>372</v>
      </c>
      <c r="B184" s="5" t="s">
        <v>373</v>
      </c>
      <c r="C184" s="5" t="str">
        <f t="shared" si="4"/>
        <v>SH</v>
      </c>
      <c r="D184" s="5" t="str">
        <f t="shared" si="5"/>
        <v>St Helena - SH</v>
      </c>
    </row>
    <row r="185" spans="1:4" x14ac:dyDescent="0.25">
      <c r="A185" s="5" t="s">
        <v>374</v>
      </c>
      <c r="B185" s="5" t="s">
        <v>375</v>
      </c>
      <c r="C185" s="5" t="str">
        <f t="shared" si="4"/>
        <v>SI</v>
      </c>
      <c r="D185" s="5" t="str">
        <f t="shared" si="5"/>
        <v>Slovenia - SI</v>
      </c>
    </row>
    <row r="186" spans="1:4" x14ac:dyDescent="0.25">
      <c r="A186" s="5" t="s">
        <v>44</v>
      </c>
      <c r="B186" s="5" t="s">
        <v>376</v>
      </c>
      <c r="C186" s="5" t="str">
        <f t="shared" si="4"/>
        <v>SK</v>
      </c>
      <c r="D186" s="5" t="str">
        <f t="shared" si="5"/>
        <v>Slovakia - SK</v>
      </c>
    </row>
    <row r="187" spans="1:4" x14ac:dyDescent="0.25">
      <c r="A187" s="5" t="s">
        <v>377</v>
      </c>
      <c r="B187" s="5" t="s">
        <v>378</v>
      </c>
      <c r="C187" s="5" t="str">
        <f t="shared" si="4"/>
        <v>SL</v>
      </c>
      <c r="D187" s="5" t="str">
        <f t="shared" si="5"/>
        <v>Sierra Leone - SL</v>
      </c>
    </row>
    <row r="188" spans="1:4" x14ac:dyDescent="0.25">
      <c r="A188" s="5" t="s">
        <v>379</v>
      </c>
      <c r="B188" s="5" t="s">
        <v>380</v>
      </c>
      <c r="C188" s="5" t="str">
        <f t="shared" si="4"/>
        <v>SM</v>
      </c>
      <c r="D188" s="5" t="str">
        <f t="shared" si="5"/>
        <v>San Marino - SM</v>
      </c>
    </row>
    <row r="189" spans="1:4" x14ac:dyDescent="0.25">
      <c r="A189" s="5" t="s">
        <v>381</v>
      </c>
      <c r="B189" s="5" t="s">
        <v>382</v>
      </c>
      <c r="C189" s="5" t="str">
        <f t="shared" si="4"/>
        <v>SN</v>
      </c>
      <c r="D189" s="5" t="str">
        <f t="shared" si="5"/>
        <v>Senegal - SN</v>
      </c>
    </row>
    <row r="190" spans="1:4" x14ac:dyDescent="0.25">
      <c r="A190" s="5" t="s">
        <v>383</v>
      </c>
      <c r="B190" s="5" t="s">
        <v>384</v>
      </c>
      <c r="C190" s="5" t="str">
        <f t="shared" si="4"/>
        <v>SO</v>
      </c>
      <c r="D190" s="5" t="str">
        <f t="shared" si="5"/>
        <v>Somalia - SO</v>
      </c>
    </row>
    <row r="191" spans="1:4" x14ac:dyDescent="0.25">
      <c r="A191" s="5" t="s">
        <v>385</v>
      </c>
      <c r="B191" s="5" t="s">
        <v>386</v>
      </c>
      <c r="C191" s="5" t="str">
        <f t="shared" si="4"/>
        <v>SR</v>
      </c>
      <c r="D191" s="5" t="str">
        <f t="shared" si="5"/>
        <v>Suriname - SR</v>
      </c>
    </row>
    <row r="192" spans="1:4" x14ac:dyDescent="0.25">
      <c r="A192" s="5" t="s">
        <v>387</v>
      </c>
      <c r="B192" s="5" t="s">
        <v>388</v>
      </c>
      <c r="C192" s="5" t="str">
        <f t="shared" si="4"/>
        <v>SS</v>
      </c>
      <c r="D192" s="5" t="str">
        <f t="shared" si="5"/>
        <v>South Sudan - SS</v>
      </c>
    </row>
    <row r="193" spans="1:4" x14ac:dyDescent="0.25">
      <c r="A193" s="5" t="s">
        <v>389</v>
      </c>
      <c r="B193" s="5" t="s">
        <v>390</v>
      </c>
      <c r="C193" s="5" t="str">
        <f t="shared" si="4"/>
        <v>ST</v>
      </c>
      <c r="D193" s="5" t="str">
        <f t="shared" si="5"/>
        <v>Sao Tome and Principe - ST</v>
      </c>
    </row>
    <row r="194" spans="1:4" x14ac:dyDescent="0.25">
      <c r="A194" s="5" t="s">
        <v>391</v>
      </c>
      <c r="B194" s="5" t="s">
        <v>392</v>
      </c>
      <c r="C194" s="5" t="str">
        <f t="shared" si="4"/>
        <v>SV</v>
      </c>
      <c r="D194" s="5" t="str">
        <f t="shared" si="5"/>
        <v>El Salvador - SV</v>
      </c>
    </row>
    <row r="195" spans="1:4" x14ac:dyDescent="0.25">
      <c r="A195" s="5" t="s">
        <v>393</v>
      </c>
      <c r="B195" s="5" t="s">
        <v>394</v>
      </c>
      <c r="C195" s="5" t="str">
        <f t="shared" ref="C195:C238" si="6">A195</f>
        <v>SY</v>
      </c>
      <c r="D195" s="5" t="str">
        <f t="shared" ref="D195:D238" si="7">B195&amp;" - "&amp;A195</f>
        <v>Syria - SY</v>
      </c>
    </row>
    <row r="196" spans="1:4" x14ac:dyDescent="0.25">
      <c r="A196" s="5" t="s">
        <v>395</v>
      </c>
      <c r="B196" s="5" t="s">
        <v>396</v>
      </c>
      <c r="C196" s="5" t="str">
        <f t="shared" si="6"/>
        <v>SZ</v>
      </c>
      <c r="D196" s="5" t="str">
        <f t="shared" si="7"/>
        <v>Swaziland - SZ</v>
      </c>
    </row>
    <row r="197" spans="1:4" x14ac:dyDescent="0.25">
      <c r="A197" s="5" t="s">
        <v>397</v>
      </c>
      <c r="B197" s="5" t="s">
        <v>398</v>
      </c>
      <c r="C197" s="5" t="str">
        <f t="shared" si="6"/>
        <v>TC</v>
      </c>
      <c r="D197" s="5" t="str">
        <f t="shared" si="7"/>
        <v>Turks and Caicos Islands - TC</v>
      </c>
    </row>
    <row r="198" spans="1:4" x14ac:dyDescent="0.25">
      <c r="A198" s="5" t="s">
        <v>399</v>
      </c>
      <c r="B198" s="5" t="s">
        <v>400</v>
      </c>
      <c r="C198" s="5" t="str">
        <f t="shared" si="6"/>
        <v>TD</v>
      </c>
      <c r="D198" s="5" t="str">
        <f t="shared" si="7"/>
        <v>Chad - TD</v>
      </c>
    </row>
    <row r="199" spans="1:4" x14ac:dyDescent="0.25">
      <c r="A199" s="5" t="s">
        <v>401</v>
      </c>
      <c r="B199" s="5" t="s">
        <v>402</v>
      </c>
      <c r="C199" s="5" t="str">
        <f t="shared" si="6"/>
        <v>TG</v>
      </c>
      <c r="D199" s="5" t="str">
        <f t="shared" si="7"/>
        <v>Togo - TG</v>
      </c>
    </row>
    <row r="200" spans="1:4" x14ac:dyDescent="0.25">
      <c r="A200" s="5" t="s">
        <v>403</v>
      </c>
      <c r="B200" s="5" t="s">
        <v>404</v>
      </c>
      <c r="C200" s="5" t="str">
        <f t="shared" si="6"/>
        <v>TH</v>
      </c>
      <c r="D200" s="5" t="str">
        <f t="shared" si="7"/>
        <v>Thailand - TH</v>
      </c>
    </row>
    <row r="201" spans="1:4" x14ac:dyDescent="0.25">
      <c r="A201" s="5" t="s">
        <v>405</v>
      </c>
      <c r="B201" s="5" t="s">
        <v>406</v>
      </c>
      <c r="C201" s="5" t="str">
        <f t="shared" si="6"/>
        <v>TJ</v>
      </c>
      <c r="D201" s="5" t="str">
        <f t="shared" si="7"/>
        <v>Tajikistan - TJ</v>
      </c>
    </row>
    <row r="202" spans="1:4" x14ac:dyDescent="0.25">
      <c r="A202" s="5" t="s">
        <v>407</v>
      </c>
      <c r="B202" s="5" t="s">
        <v>408</v>
      </c>
      <c r="C202" s="5" t="str">
        <f t="shared" si="6"/>
        <v>TL</v>
      </c>
      <c r="D202" s="5" t="str">
        <f t="shared" si="7"/>
        <v>East Timor - TL</v>
      </c>
    </row>
    <row r="203" spans="1:4" x14ac:dyDescent="0.25">
      <c r="A203" s="5" t="s">
        <v>409</v>
      </c>
      <c r="B203" s="5" t="s">
        <v>410</v>
      </c>
      <c r="C203" s="5" t="str">
        <f t="shared" si="6"/>
        <v>TM</v>
      </c>
      <c r="D203" s="5" t="str">
        <f t="shared" si="7"/>
        <v>Turkmenistan - TM</v>
      </c>
    </row>
    <row r="204" spans="1:4" x14ac:dyDescent="0.25">
      <c r="A204" s="5" t="s">
        <v>45</v>
      </c>
      <c r="B204" s="5" t="s">
        <v>411</v>
      </c>
      <c r="C204" s="5" t="str">
        <f t="shared" si="6"/>
        <v>TN</v>
      </c>
      <c r="D204" s="5" t="str">
        <f t="shared" si="7"/>
        <v>Tunisia - TN</v>
      </c>
    </row>
    <row r="205" spans="1:4" x14ac:dyDescent="0.25">
      <c r="A205" s="5" t="s">
        <v>412</v>
      </c>
      <c r="B205" s="5" t="s">
        <v>413</v>
      </c>
      <c r="C205" s="5" t="str">
        <f t="shared" si="6"/>
        <v>TO</v>
      </c>
      <c r="D205" s="5" t="str">
        <f t="shared" si="7"/>
        <v>Tonga - TO</v>
      </c>
    </row>
    <row r="206" spans="1:4" x14ac:dyDescent="0.25">
      <c r="A206" s="5" t="s">
        <v>414</v>
      </c>
      <c r="B206" s="5" t="s">
        <v>415</v>
      </c>
      <c r="C206" s="5" t="str">
        <f t="shared" si="6"/>
        <v>TR</v>
      </c>
      <c r="D206" s="5" t="str">
        <f t="shared" si="7"/>
        <v>Turkey - TR</v>
      </c>
    </row>
    <row r="207" spans="1:4" x14ac:dyDescent="0.25">
      <c r="A207" s="5" t="s">
        <v>416</v>
      </c>
      <c r="B207" s="5" t="s">
        <v>417</v>
      </c>
      <c r="C207" s="5" t="str">
        <f t="shared" si="6"/>
        <v>TT</v>
      </c>
      <c r="D207" s="5" t="str">
        <f t="shared" si="7"/>
        <v>Trinidad and Tobago - TT</v>
      </c>
    </row>
    <row r="208" spans="1:4" x14ac:dyDescent="0.25">
      <c r="A208" s="5" t="s">
        <v>418</v>
      </c>
      <c r="B208" s="5" t="s">
        <v>419</v>
      </c>
      <c r="C208" s="5" t="str">
        <f t="shared" si="6"/>
        <v>TV</v>
      </c>
      <c r="D208" s="5" t="str">
        <f t="shared" si="7"/>
        <v>Tuvalu - TV</v>
      </c>
    </row>
    <row r="209" spans="1:4" x14ac:dyDescent="0.25">
      <c r="A209" s="5" t="s">
        <v>420</v>
      </c>
      <c r="B209" s="5" t="s">
        <v>421</v>
      </c>
      <c r="C209" s="5" t="str">
        <f t="shared" si="6"/>
        <v>TW</v>
      </c>
      <c r="D209" s="5" t="str">
        <f t="shared" si="7"/>
        <v>Taiwan - TW</v>
      </c>
    </row>
    <row r="210" spans="1:4" x14ac:dyDescent="0.25">
      <c r="A210" s="5" t="s">
        <v>422</v>
      </c>
      <c r="B210" s="5" t="s">
        <v>423</v>
      </c>
      <c r="C210" s="5" t="str">
        <f t="shared" si="6"/>
        <v>TZ</v>
      </c>
      <c r="D210" s="5" t="str">
        <f t="shared" si="7"/>
        <v>Tanzania - TZ</v>
      </c>
    </row>
    <row r="211" spans="1:4" x14ac:dyDescent="0.25">
      <c r="A211" s="5" t="s">
        <v>46</v>
      </c>
      <c r="B211" s="5" t="s">
        <v>424</v>
      </c>
      <c r="C211" s="5" t="str">
        <f t="shared" si="6"/>
        <v>UA</v>
      </c>
      <c r="D211" s="5" t="str">
        <f t="shared" si="7"/>
        <v>Ukraine - UA</v>
      </c>
    </row>
    <row r="212" spans="1:4" x14ac:dyDescent="0.25">
      <c r="A212" s="5" t="s">
        <v>425</v>
      </c>
      <c r="B212" s="5" t="s">
        <v>426</v>
      </c>
      <c r="C212" s="5" t="str">
        <f t="shared" si="6"/>
        <v>UG</v>
      </c>
      <c r="D212" s="5" t="str">
        <f t="shared" si="7"/>
        <v>Uganda - UG</v>
      </c>
    </row>
    <row r="213" spans="1:4" x14ac:dyDescent="0.25">
      <c r="A213" s="5" t="s">
        <v>47</v>
      </c>
      <c r="B213" s="5" t="s">
        <v>427</v>
      </c>
      <c r="C213" s="5" t="str">
        <f t="shared" si="6"/>
        <v>US</v>
      </c>
      <c r="D213" s="5" t="str">
        <f t="shared" si="7"/>
        <v>United States - US</v>
      </c>
    </row>
    <row r="214" spans="1:4" x14ac:dyDescent="0.25">
      <c r="A214" s="5" t="s">
        <v>428</v>
      </c>
      <c r="B214" s="5" t="s">
        <v>429</v>
      </c>
      <c r="C214" s="5" t="str">
        <f t="shared" si="6"/>
        <v>UY</v>
      </c>
      <c r="D214" s="5" t="str">
        <f t="shared" si="7"/>
        <v>Uruguay - UY</v>
      </c>
    </row>
    <row r="215" spans="1:4" x14ac:dyDescent="0.25">
      <c r="A215" s="5" t="s">
        <v>430</v>
      </c>
      <c r="B215" s="5" t="s">
        <v>431</v>
      </c>
      <c r="C215" s="5" t="str">
        <f t="shared" si="6"/>
        <v>UZ</v>
      </c>
      <c r="D215" s="5" t="str">
        <f t="shared" si="7"/>
        <v>Uzbekistan - UZ</v>
      </c>
    </row>
    <row r="216" spans="1:4" x14ac:dyDescent="0.25">
      <c r="A216" s="5" t="s">
        <v>432</v>
      </c>
      <c r="B216" s="5" t="s">
        <v>433</v>
      </c>
      <c r="C216" s="5" t="str">
        <f t="shared" si="6"/>
        <v>VC</v>
      </c>
      <c r="D216" s="5" t="str">
        <f t="shared" si="7"/>
        <v>St. Vincent &amp; Grenadines - VC</v>
      </c>
    </row>
    <row r="217" spans="1:4" x14ac:dyDescent="0.25">
      <c r="A217" s="5" t="s">
        <v>434</v>
      </c>
      <c r="B217" s="5" t="s">
        <v>435</v>
      </c>
      <c r="C217" s="5" t="str">
        <f t="shared" si="6"/>
        <v>VE</v>
      </c>
      <c r="D217" s="5" t="str">
        <f t="shared" si="7"/>
        <v>Venezuela - VE</v>
      </c>
    </row>
    <row r="218" spans="1:4" x14ac:dyDescent="0.25">
      <c r="A218" s="5" t="s">
        <v>436</v>
      </c>
      <c r="B218" s="5" t="s">
        <v>437</v>
      </c>
      <c r="C218" s="5" t="str">
        <f t="shared" si="6"/>
        <v>VG</v>
      </c>
      <c r="D218" s="5" t="str">
        <f t="shared" si="7"/>
        <v>British Virgin Islands - VG</v>
      </c>
    </row>
    <row r="219" spans="1:4" x14ac:dyDescent="0.25">
      <c r="A219" s="5" t="s">
        <v>438</v>
      </c>
      <c r="B219" s="5" t="s">
        <v>439</v>
      </c>
      <c r="C219" s="5" t="str">
        <f t="shared" si="6"/>
        <v>VI</v>
      </c>
      <c r="D219" s="5" t="str">
        <f t="shared" si="7"/>
        <v>US Virgin Islands - VI</v>
      </c>
    </row>
    <row r="220" spans="1:4" x14ac:dyDescent="0.25">
      <c r="A220" s="5" t="s">
        <v>440</v>
      </c>
      <c r="B220" s="5" t="s">
        <v>441</v>
      </c>
      <c r="C220" s="5" t="str">
        <f t="shared" si="6"/>
        <v>VN</v>
      </c>
      <c r="D220" s="5" t="str">
        <f t="shared" si="7"/>
        <v>Vietnam - VN</v>
      </c>
    </row>
    <row r="221" spans="1:4" x14ac:dyDescent="0.25">
      <c r="A221" s="5" t="s">
        <v>442</v>
      </c>
      <c r="B221" s="5" t="s">
        <v>443</v>
      </c>
      <c r="C221" s="5" t="str">
        <f t="shared" si="6"/>
        <v>VU</v>
      </c>
      <c r="D221" s="5" t="str">
        <f t="shared" si="7"/>
        <v>Vanuatu - VU</v>
      </c>
    </row>
    <row r="222" spans="1:4" x14ac:dyDescent="0.25">
      <c r="A222" s="5" t="s">
        <v>444</v>
      </c>
      <c r="B222" s="5" t="s">
        <v>445</v>
      </c>
      <c r="C222" s="5" t="str">
        <f t="shared" si="6"/>
        <v>WS</v>
      </c>
      <c r="D222" s="5" t="str">
        <f t="shared" si="7"/>
        <v>Samoa - WS</v>
      </c>
    </row>
    <row r="223" spans="1:4" x14ac:dyDescent="0.25">
      <c r="A223" s="5" t="s">
        <v>446</v>
      </c>
      <c r="B223" s="5" t="s">
        <v>447</v>
      </c>
      <c r="C223" s="5" t="str">
        <f t="shared" si="6"/>
        <v>XA</v>
      </c>
      <c r="D223" s="5" t="str">
        <f t="shared" si="7"/>
        <v>United Arab Emirates (XA) - XA</v>
      </c>
    </row>
    <row r="224" spans="1:4" x14ac:dyDescent="0.25">
      <c r="A224" s="5" t="s">
        <v>448</v>
      </c>
      <c r="B224" s="5" t="s">
        <v>449</v>
      </c>
      <c r="C224" s="5" t="str">
        <f t="shared" si="6"/>
        <v>XB</v>
      </c>
      <c r="D224" s="5" t="str">
        <f t="shared" si="7"/>
        <v>Bonaire - XB</v>
      </c>
    </row>
    <row r="225" spans="1:4" x14ac:dyDescent="0.25">
      <c r="A225" s="5" t="s">
        <v>450</v>
      </c>
      <c r="B225" s="5" t="s">
        <v>451</v>
      </c>
      <c r="C225" s="5" t="str">
        <f t="shared" si="6"/>
        <v>XC</v>
      </c>
      <c r="D225" s="5" t="str">
        <f t="shared" si="7"/>
        <v>Curacao - XC</v>
      </c>
    </row>
    <row r="226" spans="1:4" x14ac:dyDescent="0.25">
      <c r="A226" s="5" t="s">
        <v>452</v>
      </c>
      <c r="B226" s="5" t="s">
        <v>453</v>
      </c>
      <c r="C226" s="5" t="str">
        <f t="shared" si="6"/>
        <v>XE</v>
      </c>
      <c r="D226" s="5" t="str">
        <f t="shared" si="7"/>
        <v>St. Eustatius - XE</v>
      </c>
    </row>
    <row r="227" spans="1:4" x14ac:dyDescent="0.25">
      <c r="A227" s="5" t="s">
        <v>454</v>
      </c>
      <c r="B227" s="5" t="s">
        <v>455</v>
      </c>
      <c r="C227" s="5" t="str">
        <f t="shared" si="6"/>
        <v>XG</v>
      </c>
      <c r="D227" s="5" t="str">
        <f t="shared" si="7"/>
        <v>GLOBAL MAIL - XG</v>
      </c>
    </row>
    <row r="228" spans="1:4" x14ac:dyDescent="0.25">
      <c r="A228" s="5" t="s">
        <v>456</v>
      </c>
      <c r="B228" s="5" t="s">
        <v>457</v>
      </c>
      <c r="C228" s="5" t="str">
        <f t="shared" si="6"/>
        <v>XL</v>
      </c>
      <c r="D228" s="5" t="str">
        <f t="shared" si="7"/>
        <v>Worldwide Express Logistics - XL</v>
      </c>
    </row>
    <row r="229" spans="1:4" x14ac:dyDescent="0.25">
      <c r="A229" s="5" t="s">
        <v>458</v>
      </c>
      <c r="B229" s="5" t="s">
        <v>459</v>
      </c>
      <c r="C229" s="5" t="str">
        <f t="shared" si="6"/>
        <v>XM</v>
      </c>
      <c r="D229" s="5" t="str">
        <f t="shared" si="7"/>
        <v>St. Maarten - XM</v>
      </c>
    </row>
    <row r="230" spans="1:4" x14ac:dyDescent="0.25">
      <c r="A230" s="5" t="s">
        <v>460</v>
      </c>
      <c r="B230" s="5" t="s">
        <v>461</v>
      </c>
      <c r="C230" s="5" t="str">
        <f t="shared" si="6"/>
        <v>XN</v>
      </c>
      <c r="D230" s="5" t="str">
        <f t="shared" si="7"/>
        <v>Nevis - XN</v>
      </c>
    </row>
    <row r="231" spans="1:4" x14ac:dyDescent="0.25">
      <c r="A231" s="5" t="s">
        <v>462</v>
      </c>
      <c r="B231" s="5" t="s">
        <v>463</v>
      </c>
      <c r="C231" s="5" t="str">
        <f t="shared" si="6"/>
        <v>XS</v>
      </c>
      <c r="D231" s="5" t="str">
        <f t="shared" si="7"/>
        <v>Somaliland - XS</v>
      </c>
    </row>
    <row r="232" spans="1:4" x14ac:dyDescent="0.25">
      <c r="A232" s="5" t="s">
        <v>464</v>
      </c>
      <c r="B232" s="5" t="s">
        <v>465</v>
      </c>
      <c r="C232" s="5" t="str">
        <f t="shared" si="6"/>
        <v>XY</v>
      </c>
      <c r="D232" s="5" t="str">
        <f t="shared" si="7"/>
        <v>St. Barthelemy - XY</v>
      </c>
    </row>
    <row r="233" spans="1:4" x14ac:dyDescent="0.25">
      <c r="A233" s="5" t="s">
        <v>466</v>
      </c>
      <c r="B233" s="5" t="s">
        <v>467</v>
      </c>
      <c r="C233" s="5" t="str">
        <f t="shared" si="6"/>
        <v>YE</v>
      </c>
      <c r="D233" s="5" t="str">
        <f t="shared" si="7"/>
        <v>Yemen - YE</v>
      </c>
    </row>
    <row r="234" spans="1:4" x14ac:dyDescent="0.25">
      <c r="A234" s="5" t="s">
        <v>468</v>
      </c>
      <c r="B234" s="5" t="s">
        <v>469</v>
      </c>
      <c r="C234" s="5" t="str">
        <f t="shared" si="6"/>
        <v>YT</v>
      </c>
      <c r="D234" s="5" t="str">
        <f t="shared" si="7"/>
        <v>Mayotte - YT</v>
      </c>
    </row>
    <row r="235" spans="1:4" x14ac:dyDescent="0.25">
      <c r="A235" s="5" t="s">
        <v>470</v>
      </c>
      <c r="B235" s="5" t="s">
        <v>471</v>
      </c>
      <c r="C235" s="5" t="str">
        <f t="shared" si="6"/>
        <v>YU</v>
      </c>
      <c r="D235" s="5" t="str">
        <f t="shared" si="7"/>
        <v>unknown - YU - YU</v>
      </c>
    </row>
    <row r="236" spans="1:4" x14ac:dyDescent="0.25">
      <c r="A236" s="5" t="s">
        <v>48</v>
      </c>
      <c r="B236" s="5" t="s">
        <v>472</v>
      </c>
      <c r="C236" s="5" t="str">
        <f t="shared" si="6"/>
        <v>ZA</v>
      </c>
      <c r="D236" s="5" t="str">
        <f t="shared" si="7"/>
        <v>South Africa - ZA</v>
      </c>
    </row>
    <row r="237" spans="1:4" x14ac:dyDescent="0.25">
      <c r="A237" s="5" t="s">
        <v>473</v>
      </c>
      <c r="B237" s="5" t="s">
        <v>474</v>
      </c>
      <c r="C237" s="5" t="str">
        <f t="shared" si="6"/>
        <v>ZM</v>
      </c>
      <c r="D237" s="5" t="str">
        <f t="shared" si="7"/>
        <v>Zambia - ZM</v>
      </c>
    </row>
    <row r="238" spans="1:4" x14ac:dyDescent="0.25">
      <c r="A238" s="5" t="s">
        <v>475</v>
      </c>
      <c r="B238" s="5" t="s">
        <v>476</v>
      </c>
      <c r="C238" s="5" t="str">
        <f t="shared" si="6"/>
        <v>ZW</v>
      </c>
      <c r="D238" s="5" t="str">
        <f t="shared" si="7"/>
        <v>Zimbabwe - ZW</v>
      </c>
    </row>
    <row r="243" spans="1:6" x14ac:dyDescent="0.25">
      <c r="A243" s="5" t="s">
        <v>478</v>
      </c>
      <c r="B243" s="5" t="s">
        <v>479</v>
      </c>
      <c r="C243" s="5" t="s">
        <v>477</v>
      </c>
      <c r="D243" s="5" t="s">
        <v>0</v>
      </c>
      <c r="E243" s="5" t="s">
        <v>480</v>
      </c>
      <c r="F243" s="5" t="s">
        <v>481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C1531A-E61D-4E73-A058-173511424F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Data Giris</vt:lpstr>
      <vt:lpstr>DataZipCode</vt:lpstr>
      <vt:lpstr>Ulkeler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Turhan Kılıçcıoğlu</dc:creator>
  <cp:lastModifiedBy>Turhan Kılıçcıoğlu</cp:lastModifiedBy>
  <dcterms:created xsi:type="dcterms:W3CDTF">2022-07-24T18:20:13Z</dcterms:created>
  <dcterms:modified xsi:type="dcterms:W3CDTF">2022-12-06T18:54:14Z</dcterms:modified>
</cp:coreProperties>
</file>